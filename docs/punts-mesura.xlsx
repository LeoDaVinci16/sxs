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sxs\docs\"/>
    </mc:Choice>
  </mc:AlternateContent>
  <xr:revisionPtr revIDLastSave="0" documentId="13_ncr:1_{F8723CCF-5F97-4297-8D2B-071211DEE167}" xr6:coauthVersionLast="47" xr6:coauthVersionMax="47" xr10:uidLastSave="{00000000-0000-0000-0000-000000000000}"/>
  <bookViews>
    <workbookView xWindow="-108" yWindow="-108" windowWidth="23256" windowHeight="13896" xr2:uid="{4CA701B3-5EB8-45D8-B6BB-1F057196BE44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K17" i="1"/>
  <c r="K18" i="1"/>
  <c r="K19" i="1"/>
  <c r="K20" i="1"/>
  <c r="K21" i="1"/>
  <c r="K69" i="1"/>
  <c r="D69" i="1"/>
  <c r="K63" i="1"/>
  <c r="K64" i="1"/>
  <c r="K65" i="1"/>
  <c r="K66" i="1"/>
  <c r="K67" i="1"/>
  <c r="K68" i="1"/>
  <c r="K70" i="1"/>
  <c r="K71" i="1"/>
  <c r="D71" i="1"/>
  <c r="D70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9" i="1"/>
  <c r="D6" i="1"/>
  <c r="D5" i="1"/>
  <c r="D7" i="1"/>
  <c r="D3" i="1"/>
  <c r="D8" i="1"/>
  <c r="D4" i="1"/>
  <c r="D2" i="1"/>
  <c r="K39" i="1"/>
  <c r="K38" i="1"/>
  <c r="K37" i="1"/>
  <c r="K36" i="1"/>
  <c r="K35" i="1"/>
  <c r="K34" i="1"/>
  <c r="K50" i="1"/>
  <c r="K62" i="1"/>
  <c r="K61" i="1"/>
  <c r="K60" i="1"/>
  <c r="K59" i="1"/>
  <c r="K57" i="1"/>
  <c r="K56" i="1"/>
  <c r="K55" i="1"/>
  <c r="K54" i="1"/>
  <c r="K58" i="1"/>
  <c r="K53" i="1"/>
  <c r="K45" i="1"/>
  <c r="K46" i="1"/>
  <c r="K47" i="1"/>
  <c r="K48" i="1"/>
  <c r="K49" i="1"/>
  <c r="K51" i="1"/>
  <c r="K52" i="1"/>
  <c r="K44" i="1"/>
  <c r="K43" i="1"/>
  <c r="K41" i="1"/>
  <c r="K40" i="1"/>
  <c r="K33" i="1"/>
  <c r="K32" i="1"/>
  <c r="K31" i="1"/>
  <c r="K30" i="1"/>
  <c r="K29" i="1"/>
  <c r="K28" i="1"/>
  <c r="K27" i="1"/>
  <c r="K26" i="1"/>
  <c r="K25" i="1"/>
  <c r="K24" i="1"/>
  <c r="K23" i="1"/>
  <c r="K22" i="1"/>
  <c r="K6" i="1"/>
  <c r="K5" i="1"/>
  <c r="K7" i="1"/>
  <c r="K3" i="1"/>
  <c r="K8" i="1"/>
  <c r="K2" i="1"/>
  <c r="K9" i="1"/>
  <c r="K10" i="1"/>
  <c r="K11" i="1"/>
  <c r="K12" i="1"/>
  <c r="K13" i="1"/>
  <c r="K14" i="1"/>
  <c r="K15" i="1"/>
  <c r="K16" i="1"/>
  <c r="K4" i="1"/>
</calcChain>
</file>

<file path=xl/sharedStrings.xml><?xml version="1.0" encoding="utf-8"?>
<sst xmlns="http://schemas.openxmlformats.org/spreadsheetml/2006/main" count="129" uniqueCount="97">
  <si>
    <t>id</t>
  </si>
  <si>
    <t>source</t>
  </si>
  <si>
    <t>target</t>
  </si>
  <si>
    <t>OD</t>
  </si>
  <si>
    <t>area</t>
  </si>
  <si>
    <t>E-100</t>
  </si>
  <si>
    <t>EI-100</t>
  </si>
  <si>
    <t>EI-101</t>
  </si>
  <si>
    <t>EI-102</t>
  </si>
  <si>
    <t>E-150</t>
  </si>
  <si>
    <t>ED-150</t>
  </si>
  <si>
    <t>EI-150</t>
  </si>
  <si>
    <t>id_vell</t>
  </si>
  <si>
    <t>AT-1</t>
  </si>
  <si>
    <t>AT-2</t>
  </si>
  <si>
    <t>AT-3</t>
  </si>
  <si>
    <t>AT-4</t>
  </si>
  <si>
    <t>AT-5</t>
  </si>
  <si>
    <t>AT-6</t>
  </si>
  <si>
    <t>AT-7</t>
  </si>
  <si>
    <t>BV-105</t>
  </si>
  <si>
    <t>BV-107</t>
  </si>
  <si>
    <t>BV-106</t>
  </si>
  <si>
    <t>BV-108</t>
  </si>
  <si>
    <t>BV-104</t>
  </si>
  <si>
    <t>BV-109</t>
  </si>
  <si>
    <t>colector</t>
  </si>
  <si>
    <t>DN</t>
  </si>
  <si>
    <t>WT</t>
  </si>
  <si>
    <t>PEC</t>
  </si>
  <si>
    <t>EI101</t>
  </si>
  <si>
    <t>EI102</t>
  </si>
  <si>
    <t>ED150</t>
  </si>
  <si>
    <t>EI150</t>
  </si>
  <si>
    <t>E150</t>
  </si>
  <si>
    <t>P200</t>
  </si>
  <si>
    <t>P201</t>
  </si>
  <si>
    <t>P202</t>
  </si>
  <si>
    <t>PK202</t>
  </si>
  <si>
    <t>PK201</t>
  </si>
  <si>
    <t>P304</t>
  </si>
  <si>
    <t>P303</t>
  </si>
  <si>
    <t>SI5003</t>
  </si>
  <si>
    <t>P300</t>
  </si>
  <si>
    <t>PI304</t>
  </si>
  <si>
    <t>PI303</t>
  </si>
  <si>
    <t>P400</t>
  </si>
  <si>
    <t>PR401</t>
  </si>
  <si>
    <t>PI401A</t>
  </si>
  <si>
    <t>PI402A</t>
  </si>
  <si>
    <t>PR402</t>
  </si>
  <si>
    <t>P600</t>
  </si>
  <si>
    <t>PR601</t>
  </si>
  <si>
    <t>PI601</t>
  </si>
  <si>
    <t>EI733</t>
  </si>
  <si>
    <t>ER750</t>
  </si>
  <si>
    <t>ER770</t>
  </si>
  <si>
    <t>EI7X2</t>
  </si>
  <si>
    <t>EI772</t>
  </si>
  <si>
    <t>EI752</t>
  </si>
  <si>
    <t>E700</t>
  </si>
  <si>
    <t>E800</t>
  </si>
  <si>
    <t>EI806</t>
  </si>
  <si>
    <t>EI801</t>
  </si>
  <si>
    <t>EI-906</t>
  </si>
  <si>
    <t>EI-9061006</t>
  </si>
  <si>
    <t>EI-9001006</t>
  </si>
  <si>
    <t>EI-1001</t>
  </si>
  <si>
    <t>EI-901</t>
  </si>
  <si>
    <t>EI-9001000</t>
  </si>
  <si>
    <t>EI906</t>
  </si>
  <si>
    <t>EI1006</t>
  </si>
  <si>
    <t>Y100</t>
  </si>
  <si>
    <t>Y120</t>
  </si>
  <si>
    <t>Y160170</t>
  </si>
  <si>
    <t>Y170</t>
  </si>
  <si>
    <t>Y160</t>
  </si>
  <si>
    <t>L650</t>
  </si>
  <si>
    <t>LI651</t>
  </si>
  <si>
    <t>LI660</t>
  </si>
  <si>
    <t>L670</t>
  </si>
  <si>
    <t>SB670</t>
  </si>
  <si>
    <t>LI671</t>
  </si>
  <si>
    <t>BV</t>
  </si>
  <si>
    <t>VI710</t>
  </si>
  <si>
    <t>VR710</t>
  </si>
  <si>
    <t>VI810</t>
  </si>
  <si>
    <t>VR810</t>
  </si>
  <si>
    <t>V700800</t>
  </si>
  <si>
    <t>V700</t>
  </si>
  <si>
    <t>V800</t>
  </si>
  <si>
    <t>EI701</t>
  </si>
  <si>
    <t>x</t>
  </si>
  <si>
    <t>y</t>
  </si>
  <si>
    <t>id_aux_1</t>
  </si>
  <si>
    <t>id_aux_2</t>
  </si>
  <si>
    <t>id_aux_3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</si>
</sst>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19E-119C-467C-9531-507D24E0A5C1}">
  <dimension ref="A1:M71"/>
  <sheetViews>
    <sheetView tabSelected="1" zoomScale="85" zoomScaleNormal="85" workbookViewId="0">
      <selection activeCell="M18" sqref="M18"/>
    </sheetView>
  </sheetViews>
  <sheetFormatPr defaultRowHeight="14.4" x14ac:dyDescent="0.3"/>
  <cols>
    <col min="1" max="1" width="7" style="1" customWidth="1"/>
    <col min="2" max="2" width="13.44140625" style="1" customWidth="1"/>
    <col min="3" max="3" width="15.5546875" style="1" customWidth="1"/>
    <col min="4" max="4" width="10.77734375" style="1" customWidth="1"/>
    <col min="5" max="5" width="11.44140625" style="1" customWidth="1"/>
    <col min="6" max="10" width="8.88671875" style="1"/>
    <col min="11" max="11" width="8.33203125" style="1" customWidth="1"/>
    <col min="12" max="16384" width="8.88671875" style="1"/>
  </cols>
  <sheetData>
    <row r="1" spans="1:13" x14ac:dyDescent="0.3">
      <c r="A1" s="1" t="s">
        <v>94</v>
      </c>
      <c r="B1" s="1" t="s">
        <v>95</v>
      </c>
      <c r="C1" s="1" t="s">
        <v>96</v>
      </c>
      <c r="D1" s="1" t="s">
        <v>0</v>
      </c>
      <c r="E1" s="1" t="s">
        <v>12</v>
      </c>
      <c r="F1" s="1" t="s">
        <v>1</v>
      </c>
      <c r="G1" s="1" t="s">
        <v>2</v>
      </c>
      <c r="H1" s="1" t="s">
        <v>27</v>
      </c>
      <c r="I1" s="1" t="s">
        <v>3</v>
      </c>
      <c r="J1" s="1" t="s">
        <v>28</v>
      </c>
      <c r="K1" s="1" t="s">
        <v>4</v>
      </c>
      <c r="L1" s="1" t="s">
        <v>92</v>
      </c>
      <c r="M1" s="1" t="s">
        <v>93</v>
      </c>
    </row>
    <row r="2" spans="1:13" x14ac:dyDescent="0.3">
      <c r="A2" s="1" t="s">
        <v>83</v>
      </c>
      <c r="C2" s="1">
        <v>7</v>
      </c>
      <c r="D2" s="1" t="str">
        <f>A2&amp;(B2+C2)</f>
        <v>BV7</v>
      </c>
      <c r="E2" s="1" t="s">
        <v>19</v>
      </c>
      <c r="F2" s="1" t="s">
        <v>26</v>
      </c>
      <c r="H2" s="1">
        <v>350</v>
      </c>
      <c r="I2" s="1">
        <v>355.6</v>
      </c>
      <c r="J2" s="1">
        <v>8</v>
      </c>
      <c r="K2" s="1">
        <f t="shared" ref="K2:K21" si="0">PI()*(((I2-J2)*10^-3)^2/4)</f>
        <v>9.4896329995100878E-2</v>
      </c>
      <c r="L2" s="1">
        <v>20</v>
      </c>
      <c r="M2" s="1">
        <v>20</v>
      </c>
    </row>
    <row r="3" spans="1:13" x14ac:dyDescent="0.3">
      <c r="A3" s="1" t="s">
        <v>83</v>
      </c>
      <c r="B3" s="1">
        <v>104</v>
      </c>
      <c r="C3" s="1">
        <v>5</v>
      </c>
      <c r="D3" s="1" t="str">
        <f t="shared" ref="D3:D8" si="1">A3&amp;B3&amp;"-"&amp;C3</f>
        <v>BV104-5</v>
      </c>
      <c r="E3" s="1" t="s">
        <v>17</v>
      </c>
      <c r="F3" s="1" t="s">
        <v>24</v>
      </c>
      <c r="G3" s="1" t="s">
        <v>26</v>
      </c>
      <c r="H3" s="1">
        <v>150</v>
      </c>
      <c r="I3" s="1">
        <v>168.3</v>
      </c>
      <c r="J3" s="1">
        <v>4.8</v>
      </c>
      <c r="K3" s="1">
        <f t="shared" si="0"/>
        <v>2.0995460053481439E-2</v>
      </c>
      <c r="L3" s="1">
        <v>10</v>
      </c>
      <c r="M3" s="1">
        <v>10</v>
      </c>
    </row>
    <row r="4" spans="1:13" x14ac:dyDescent="0.3">
      <c r="A4" s="1" t="s">
        <v>83</v>
      </c>
      <c r="B4" s="1">
        <v>105</v>
      </c>
      <c r="C4" s="1">
        <v>1</v>
      </c>
      <c r="D4" s="1" t="str">
        <f t="shared" si="1"/>
        <v>BV105-1</v>
      </c>
      <c r="E4" s="1" t="s">
        <v>13</v>
      </c>
      <c r="F4" s="1" t="s">
        <v>20</v>
      </c>
      <c r="G4" s="1" t="s">
        <v>26</v>
      </c>
      <c r="H4" s="1">
        <v>150</v>
      </c>
      <c r="I4" s="1">
        <v>168.3</v>
      </c>
      <c r="J4" s="1">
        <v>4.8</v>
      </c>
      <c r="K4" s="1">
        <f t="shared" si="0"/>
        <v>2.0995460053481439E-2</v>
      </c>
      <c r="L4" s="1">
        <v>539</v>
      </c>
      <c r="M4" s="1">
        <v>700</v>
      </c>
    </row>
    <row r="5" spans="1:13" x14ac:dyDescent="0.3">
      <c r="A5" s="1" t="s">
        <v>83</v>
      </c>
      <c r="B5" s="1">
        <v>106</v>
      </c>
      <c r="C5" s="1">
        <v>3</v>
      </c>
      <c r="D5" s="1" t="str">
        <f t="shared" si="1"/>
        <v>BV106-3</v>
      </c>
      <c r="E5" s="1" t="s">
        <v>15</v>
      </c>
      <c r="F5" s="1" t="s">
        <v>22</v>
      </c>
      <c r="G5" s="1" t="s">
        <v>26</v>
      </c>
      <c r="H5" s="1">
        <v>150</v>
      </c>
      <c r="I5" s="1">
        <v>168.3</v>
      </c>
      <c r="J5" s="1">
        <v>4.8</v>
      </c>
      <c r="K5" s="1">
        <f t="shared" si="0"/>
        <v>2.0995460053481439E-2</v>
      </c>
      <c r="L5" s="1">
        <v>537</v>
      </c>
      <c r="M5" s="1">
        <v>821</v>
      </c>
    </row>
    <row r="6" spans="1:13" x14ac:dyDescent="0.3">
      <c r="A6" s="1" t="s">
        <v>83</v>
      </c>
      <c r="B6" s="1">
        <v>107</v>
      </c>
      <c r="C6" s="1">
        <v>2</v>
      </c>
      <c r="D6" s="1" t="str">
        <f t="shared" si="1"/>
        <v>BV107-2</v>
      </c>
      <c r="E6" s="1" t="s">
        <v>14</v>
      </c>
      <c r="F6" s="1" t="s">
        <v>21</v>
      </c>
      <c r="G6" s="1" t="s">
        <v>26</v>
      </c>
      <c r="H6" s="1">
        <v>150</v>
      </c>
      <c r="I6" s="1">
        <v>168.3</v>
      </c>
      <c r="J6" s="1">
        <v>4.8</v>
      </c>
      <c r="K6" s="1">
        <f t="shared" si="0"/>
        <v>2.0995460053481439E-2</v>
      </c>
      <c r="L6" s="1">
        <v>692</v>
      </c>
      <c r="M6" s="1">
        <v>709</v>
      </c>
    </row>
    <row r="7" spans="1:13" x14ac:dyDescent="0.3">
      <c r="A7" s="1" t="s">
        <v>83</v>
      </c>
      <c r="B7" s="1">
        <v>108</v>
      </c>
      <c r="C7" s="1">
        <v>4</v>
      </c>
      <c r="D7" s="1" t="str">
        <f t="shared" si="1"/>
        <v>BV108-4</v>
      </c>
      <c r="E7" s="1" t="s">
        <v>16</v>
      </c>
      <c r="F7" s="1" t="s">
        <v>23</v>
      </c>
      <c r="G7" s="1" t="s">
        <v>26</v>
      </c>
      <c r="H7" s="1">
        <v>150</v>
      </c>
      <c r="I7" s="1">
        <v>168.3</v>
      </c>
      <c r="J7" s="1">
        <v>4.8</v>
      </c>
      <c r="K7" s="1">
        <f t="shared" si="0"/>
        <v>2.0995460053481439E-2</v>
      </c>
      <c r="L7" s="1">
        <v>766</v>
      </c>
      <c r="M7" s="1">
        <v>770</v>
      </c>
    </row>
    <row r="8" spans="1:13" x14ac:dyDescent="0.3">
      <c r="A8" s="1" t="s">
        <v>83</v>
      </c>
      <c r="B8" s="1">
        <v>109</v>
      </c>
      <c r="C8" s="1">
        <v>6</v>
      </c>
      <c r="D8" s="1" t="str">
        <f t="shared" si="1"/>
        <v>BV109-6</v>
      </c>
      <c r="E8" s="1" t="s">
        <v>18</v>
      </c>
      <c r="F8" s="1" t="s">
        <v>25</v>
      </c>
      <c r="G8" s="1" t="s">
        <v>26</v>
      </c>
      <c r="H8" s="1">
        <v>150</v>
      </c>
      <c r="I8" s="1">
        <v>204</v>
      </c>
      <c r="J8" s="1">
        <v>4.8</v>
      </c>
      <c r="K8" s="1">
        <f t="shared" si="0"/>
        <v>3.116510177843532E-2</v>
      </c>
      <c r="L8" s="1">
        <v>694</v>
      </c>
      <c r="M8" s="1">
        <v>829</v>
      </c>
    </row>
    <row r="9" spans="1:13" x14ac:dyDescent="0.3">
      <c r="A9" s="1">
        <v>1</v>
      </c>
      <c r="B9" s="1">
        <v>100</v>
      </c>
      <c r="C9" s="1">
        <v>1</v>
      </c>
      <c r="D9" s="1" t="str">
        <f>A9&amp;"-"&amp;(B9+C9)</f>
        <v>1-101</v>
      </c>
      <c r="E9" s="1" t="s">
        <v>29</v>
      </c>
      <c r="G9" s="1" t="s">
        <v>5</v>
      </c>
      <c r="H9" s="1">
        <v>200</v>
      </c>
      <c r="I9" s="1">
        <v>220</v>
      </c>
      <c r="K9" s="1">
        <f t="shared" si="0"/>
        <v>3.8013271108436497E-2</v>
      </c>
    </row>
    <row r="10" spans="1:13" x14ac:dyDescent="0.3">
      <c r="A10" s="1">
        <v>1</v>
      </c>
      <c r="B10" s="1">
        <v>100</v>
      </c>
      <c r="C10" s="1">
        <v>2</v>
      </c>
      <c r="D10" s="1" t="str">
        <f t="shared" ref="D10:D69" si="2">A10&amp;"-"&amp;(B10+C10)</f>
        <v>1-102</v>
      </c>
      <c r="E10" s="1" t="s">
        <v>6</v>
      </c>
      <c r="F10" s="1" t="s">
        <v>5</v>
      </c>
      <c r="G10" s="1" t="s">
        <v>6</v>
      </c>
      <c r="H10" s="1">
        <v>125</v>
      </c>
      <c r="I10" s="1">
        <v>141</v>
      </c>
      <c r="K10" s="1">
        <f t="shared" si="0"/>
        <v>1.5614500886504672E-2</v>
      </c>
    </row>
    <row r="11" spans="1:13" x14ac:dyDescent="0.3">
      <c r="A11" s="1">
        <v>1</v>
      </c>
      <c r="B11" s="1">
        <v>100</v>
      </c>
      <c r="C11" s="1">
        <v>3</v>
      </c>
      <c r="D11" s="1" t="str">
        <f t="shared" si="2"/>
        <v>1-103</v>
      </c>
      <c r="E11" s="1" t="s">
        <v>30</v>
      </c>
      <c r="F11" s="1" t="s">
        <v>6</v>
      </c>
      <c r="G11" s="1" t="s">
        <v>7</v>
      </c>
      <c r="H11" s="1">
        <v>80</v>
      </c>
      <c r="I11" s="1">
        <v>88.9</v>
      </c>
      <c r="K11" s="1">
        <f t="shared" si="0"/>
        <v>6.2071666189443481E-3</v>
      </c>
    </row>
    <row r="12" spans="1:13" x14ac:dyDescent="0.3">
      <c r="A12" s="1">
        <v>1</v>
      </c>
      <c r="B12" s="1">
        <v>100</v>
      </c>
      <c r="C12" s="1">
        <v>4</v>
      </c>
      <c r="D12" s="1" t="str">
        <f t="shared" si="2"/>
        <v>1-104</v>
      </c>
      <c r="E12" s="1" t="s">
        <v>31</v>
      </c>
      <c r="F12" s="1" t="s">
        <v>6</v>
      </c>
      <c r="G12" s="1" t="s">
        <v>8</v>
      </c>
      <c r="H12" s="1">
        <v>80</v>
      </c>
      <c r="I12" s="1">
        <v>88.9</v>
      </c>
      <c r="K12" s="1">
        <f t="shared" si="0"/>
        <v>6.2071666189443481E-3</v>
      </c>
    </row>
    <row r="13" spans="1:13" x14ac:dyDescent="0.3">
      <c r="A13" s="1">
        <v>1</v>
      </c>
      <c r="B13" s="1">
        <v>100</v>
      </c>
      <c r="C13" s="1">
        <v>5</v>
      </c>
      <c r="D13" s="1" t="str">
        <f t="shared" si="2"/>
        <v>1-105</v>
      </c>
      <c r="E13" s="1" t="s">
        <v>34</v>
      </c>
      <c r="F13" s="1" t="s">
        <v>5</v>
      </c>
      <c r="G13" s="1" t="s">
        <v>9</v>
      </c>
      <c r="H13" s="1">
        <v>200</v>
      </c>
      <c r="I13" s="1">
        <v>220</v>
      </c>
      <c r="K13" s="1">
        <f t="shared" si="0"/>
        <v>3.8013271108436497E-2</v>
      </c>
    </row>
    <row r="14" spans="1:13" x14ac:dyDescent="0.3">
      <c r="A14" s="1">
        <v>1</v>
      </c>
      <c r="B14" s="1">
        <v>100</v>
      </c>
      <c r="C14" s="1">
        <v>6</v>
      </c>
      <c r="D14" s="1" t="str">
        <f t="shared" si="2"/>
        <v>1-106</v>
      </c>
      <c r="E14" s="1" t="s">
        <v>32</v>
      </c>
      <c r="F14" s="1" t="s">
        <v>9</v>
      </c>
      <c r="G14" s="1" t="s">
        <v>10</v>
      </c>
      <c r="H14" s="1">
        <v>50</v>
      </c>
      <c r="I14" s="1">
        <v>60.3</v>
      </c>
      <c r="K14" s="1">
        <f t="shared" si="0"/>
        <v>2.8557784079478277E-3</v>
      </c>
    </row>
    <row r="15" spans="1:13" x14ac:dyDescent="0.3">
      <c r="A15" s="1">
        <v>1</v>
      </c>
      <c r="B15" s="1">
        <v>100</v>
      </c>
      <c r="C15" s="1">
        <v>7</v>
      </c>
      <c r="D15" s="1" t="str">
        <f t="shared" si="2"/>
        <v>1-107</v>
      </c>
      <c r="E15" s="1" t="s">
        <v>33</v>
      </c>
      <c r="F15" s="1" t="s">
        <v>9</v>
      </c>
      <c r="G15" s="1" t="s">
        <v>11</v>
      </c>
      <c r="H15" s="1">
        <v>50</v>
      </c>
      <c r="I15" s="1">
        <v>60.3</v>
      </c>
      <c r="K15" s="1">
        <f t="shared" si="0"/>
        <v>2.8557784079478277E-3</v>
      </c>
    </row>
    <row r="16" spans="1:13" x14ac:dyDescent="0.3">
      <c r="A16" s="1">
        <v>1</v>
      </c>
      <c r="B16" s="1">
        <v>100</v>
      </c>
      <c r="C16" s="1">
        <v>8</v>
      </c>
      <c r="D16" s="1" t="str">
        <f t="shared" si="2"/>
        <v>1-108</v>
      </c>
      <c r="F16" s="1" t="s">
        <v>7</v>
      </c>
      <c r="G16" s="1" t="s">
        <v>8</v>
      </c>
      <c r="H16" s="1">
        <v>80</v>
      </c>
      <c r="I16" s="1">
        <v>88.9</v>
      </c>
      <c r="K16" s="1">
        <f t="shared" si="0"/>
        <v>6.2071666189443481E-3</v>
      </c>
    </row>
    <row r="17" spans="1:11" x14ac:dyDescent="0.3">
      <c r="A17" s="1">
        <v>6</v>
      </c>
      <c r="B17" s="1">
        <v>100</v>
      </c>
      <c r="C17" s="1">
        <v>1</v>
      </c>
      <c r="D17" s="1" t="str">
        <f t="shared" si="2"/>
        <v>6-101</v>
      </c>
      <c r="E17" s="1" t="s">
        <v>72</v>
      </c>
      <c r="H17" s="1">
        <v>204</v>
      </c>
      <c r="I17" s="1">
        <v>204</v>
      </c>
      <c r="K17" s="1">
        <f t="shared" si="0"/>
        <v>3.2685129967948215E-2</v>
      </c>
    </row>
    <row r="18" spans="1:11" x14ac:dyDescent="0.3">
      <c r="A18" s="1">
        <v>6</v>
      </c>
      <c r="B18" s="1">
        <v>100</v>
      </c>
      <c r="C18" s="1">
        <v>2</v>
      </c>
      <c r="D18" s="1" t="str">
        <f t="shared" si="2"/>
        <v>6-102</v>
      </c>
      <c r="E18" s="1" t="s">
        <v>74</v>
      </c>
      <c r="H18" s="1">
        <v>204</v>
      </c>
      <c r="I18" s="1">
        <v>204</v>
      </c>
      <c r="K18" s="1">
        <f t="shared" si="0"/>
        <v>3.2685129967948215E-2</v>
      </c>
    </row>
    <row r="19" spans="1:11" x14ac:dyDescent="0.3">
      <c r="A19" s="1">
        <v>6</v>
      </c>
      <c r="B19" s="1">
        <v>100</v>
      </c>
      <c r="C19" s="1">
        <v>3</v>
      </c>
      <c r="D19" s="1" t="str">
        <f t="shared" si="2"/>
        <v>6-103</v>
      </c>
      <c r="E19" s="1" t="s">
        <v>75</v>
      </c>
      <c r="H19" s="1">
        <v>100</v>
      </c>
      <c r="I19" s="1">
        <v>114</v>
      </c>
      <c r="K19" s="1">
        <f t="shared" si="0"/>
        <v>1.0207034531513238E-2</v>
      </c>
    </row>
    <row r="20" spans="1:11" x14ac:dyDescent="0.3">
      <c r="A20" s="1">
        <v>6</v>
      </c>
      <c r="B20" s="1">
        <v>100</v>
      </c>
      <c r="C20" s="1">
        <v>4</v>
      </c>
      <c r="D20" s="1" t="str">
        <f t="shared" si="2"/>
        <v>6-104</v>
      </c>
      <c r="E20" s="1" t="s">
        <v>73</v>
      </c>
      <c r="H20" s="1">
        <v>129</v>
      </c>
      <c r="I20" s="1">
        <v>129</v>
      </c>
      <c r="K20" s="1">
        <f t="shared" si="0"/>
        <v>1.3069810837096936E-2</v>
      </c>
    </row>
    <row r="21" spans="1:11" x14ac:dyDescent="0.3">
      <c r="A21" s="1">
        <v>6</v>
      </c>
      <c r="B21" s="1">
        <v>100</v>
      </c>
      <c r="C21" s="1">
        <v>5</v>
      </c>
      <c r="D21" s="1" t="str">
        <f t="shared" si="2"/>
        <v>6-105</v>
      </c>
      <c r="E21" s="1" t="s">
        <v>76</v>
      </c>
      <c r="H21" s="1">
        <v>129</v>
      </c>
      <c r="I21" s="1">
        <v>129</v>
      </c>
      <c r="K21" s="1">
        <f t="shared" si="0"/>
        <v>1.3069810837096936E-2</v>
      </c>
    </row>
    <row r="22" spans="1:11" x14ac:dyDescent="0.3">
      <c r="A22" s="1">
        <v>3</v>
      </c>
      <c r="B22" s="1">
        <v>200</v>
      </c>
      <c r="C22" s="1">
        <v>1</v>
      </c>
      <c r="D22" s="1" t="str">
        <f t="shared" si="2"/>
        <v>3-201</v>
      </c>
      <c r="E22" s="1" t="s">
        <v>35</v>
      </c>
      <c r="G22" s="1" t="s">
        <v>35</v>
      </c>
      <c r="H22" s="1">
        <v>100</v>
      </c>
      <c r="I22" s="1">
        <v>114</v>
      </c>
      <c r="K22" s="1">
        <f t="shared" ref="K22:K62" si="3">PI()*(((I22-J22)*10^-3)^2/4)</f>
        <v>1.0207034531513238E-2</v>
      </c>
    </row>
    <row r="23" spans="1:11" x14ac:dyDescent="0.3">
      <c r="A23" s="1">
        <v>3</v>
      </c>
      <c r="B23" s="1">
        <v>200</v>
      </c>
      <c r="C23" s="1">
        <v>2</v>
      </c>
      <c r="D23" s="1" t="str">
        <f t="shared" si="2"/>
        <v>3-202</v>
      </c>
      <c r="E23" s="1" t="s">
        <v>36</v>
      </c>
      <c r="F23" s="1" t="s">
        <v>35</v>
      </c>
      <c r="G23" s="1" t="s">
        <v>38</v>
      </c>
      <c r="H23" s="1">
        <v>65</v>
      </c>
      <c r="I23" s="1">
        <v>76.099999999999994</v>
      </c>
      <c r="K23" s="1">
        <f t="shared" si="3"/>
        <v>4.5484056978489359E-3</v>
      </c>
    </row>
    <row r="24" spans="1:11" x14ac:dyDescent="0.3">
      <c r="A24" s="1">
        <v>3</v>
      </c>
      <c r="B24" s="1">
        <v>200</v>
      </c>
      <c r="C24" s="1">
        <v>3</v>
      </c>
      <c r="D24" s="1" t="str">
        <f t="shared" si="2"/>
        <v>3-203</v>
      </c>
      <c r="E24" s="1" t="s">
        <v>37</v>
      </c>
      <c r="F24" s="1" t="s">
        <v>35</v>
      </c>
      <c r="G24" s="1" t="s">
        <v>39</v>
      </c>
      <c r="H24" s="1">
        <v>65</v>
      </c>
      <c r="I24" s="1">
        <v>76.099999999999994</v>
      </c>
      <c r="K24" s="1">
        <f t="shared" si="3"/>
        <v>4.5484056978489359E-3</v>
      </c>
    </row>
    <row r="25" spans="1:11" x14ac:dyDescent="0.3">
      <c r="A25" s="1">
        <v>3</v>
      </c>
      <c r="B25" s="1">
        <v>300</v>
      </c>
      <c r="C25" s="1">
        <v>1</v>
      </c>
      <c r="D25" s="1" t="str">
        <f t="shared" si="2"/>
        <v>3-301</v>
      </c>
      <c r="E25" s="1" t="s">
        <v>43</v>
      </c>
      <c r="G25" s="1" t="s">
        <v>43</v>
      </c>
      <c r="H25" s="1">
        <v>65</v>
      </c>
      <c r="I25" s="1">
        <v>76.099999999999994</v>
      </c>
      <c r="K25" s="1">
        <f t="shared" si="3"/>
        <v>4.5484056978489359E-3</v>
      </c>
    </row>
    <row r="26" spans="1:11" x14ac:dyDescent="0.3">
      <c r="A26" s="1">
        <v>3</v>
      </c>
      <c r="B26" s="1">
        <v>300</v>
      </c>
      <c r="C26" s="1">
        <v>2</v>
      </c>
      <c r="D26" s="1" t="str">
        <f t="shared" si="2"/>
        <v>3-302</v>
      </c>
      <c r="E26" s="1" t="s">
        <v>40</v>
      </c>
      <c r="F26" s="1" t="s">
        <v>43</v>
      </c>
      <c r="G26" s="1" t="s">
        <v>44</v>
      </c>
      <c r="H26" s="1">
        <v>50</v>
      </c>
      <c r="I26" s="1">
        <v>60.3</v>
      </c>
      <c r="K26" s="1">
        <f t="shared" si="3"/>
        <v>2.8557784079478277E-3</v>
      </c>
    </row>
    <row r="27" spans="1:11" x14ac:dyDescent="0.3">
      <c r="A27" s="1">
        <v>3</v>
      </c>
      <c r="B27" s="1">
        <v>300</v>
      </c>
      <c r="C27" s="1">
        <v>3</v>
      </c>
      <c r="D27" s="1" t="str">
        <f t="shared" si="2"/>
        <v>3-303</v>
      </c>
      <c r="E27" s="1" t="s">
        <v>41</v>
      </c>
      <c r="F27" s="1" t="s">
        <v>43</v>
      </c>
      <c r="G27" s="1" t="s">
        <v>45</v>
      </c>
      <c r="H27" s="1">
        <v>50</v>
      </c>
      <c r="I27" s="1">
        <v>60.3</v>
      </c>
      <c r="K27" s="1">
        <f t="shared" si="3"/>
        <v>2.8557784079478277E-3</v>
      </c>
    </row>
    <row r="28" spans="1:11" x14ac:dyDescent="0.3">
      <c r="A28" s="1">
        <v>3</v>
      </c>
      <c r="B28" s="1">
        <v>300</v>
      </c>
      <c r="C28" s="1">
        <v>4</v>
      </c>
      <c r="D28" s="1" t="str">
        <f t="shared" si="2"/>
        <v>3-304</v>
      </c>
      <c r="E28" s="1" t="s">
        <v>42</v>
      </c>
      <c r="F28" s="1" t="s">
        <v>43</v>
      </c>
      <c r="G28" s="1" t="s">
        <v>42</v>
      </c>
      <c r="H28" s="1">
        <v>32</v>
      </c>
      <c r="I28" s="1">
        <v>42.2</v>
      </c>
      <c r="K28" s="1">
        <f t="shared" si="3"/>
        <v>1.3986684653047119E-3</v>
      </c>
    </row>
    <row r="29" spans="1:11" x14ac:dyDescent="0.3">
      <c r="A29" s="1">
        <v>3</v>
      </c>
      <c r="B29" s="1">
        <v>400</v>
      </c>
      <c r="C29" s="1">
        <v>1</v>
      </c>
      <c r="D29" s="1" t="str">
        <f t="shared" si="2"/>
        <v>3-401</v>
      </c>
      <c r="E29" s="1" t="s">
        <v>46</v>
      </c>
      <c r="H29" s="1">
        <v>80</v>
      </c>
      <c r="I29" s="1">
        <v>88.9</v>
      </c>
      <c r="K29" s="1">
        <f t="shared" si="3"/>
        <v>6.2071666189443481E-3</v>
      </c>
    </row>
    <row r="30" spans="1:11" x14ac:dyDescent="0.3">
      <c r="A30" s="1">
        <v>3</v>
      </c>
      <c r="B30" s="1">
        <v>400</v>
      </c>
      <c r="C30" s="1">
        <v>2</v>
      </c>
      <c r="D30" s="1" t="str">
        <f t="shared" si="2"/>
        <v>3-402</v>
      </c>
      <c r="E30" s="1" t="s">
        <v>47</v>
      </c>
      <c r="H30" s="1">
        <v>40</v>
      </c>
      <c r="I30" s="1">
        <v>48.3</v>
      </c>
      <c r="K30" s="1">
        <f t="shared" si="3"/>
        <v>1.8322475214082729E-3</v>
      </c>
    </row>
    <row r="31" spans="1:11" x14ac:dyDescent="0.3">
      <c r="A31" s="1">
        <v>3</v>
      </c>
      <c r="B31" s="1">
        <v>400</v>
      </c>
      <c r="C31" s="1">
        <v>3</v>
      </c>
      <c r="D31" s="1" t="str">
        <f t="shared" si="2"/>
        <v>3-403</v>
      </c>
      <c r="E31" s="1" t="s">
        <v>48</v>
      </c>
      <c r="H31" s="1">
        <v>50</v>
      </c>
      <c r="I31" s="1">
        <v>60.3</v>
      </c>
      <c r="K31" s="1">
        <f t="shared" si="3"/>
        <v>2.8557784079478277E-3</v>
      </c>
    </row>
    <row r="32" spans="1:11" x14ac:dyDescent="0.3">
      <c r="A32" s="1">
        <v>3</v>
      </c>
      <c r="B32" s="1">
        <v>400</v>
      </c>
      <c r="C32" s="1">
        <v>4</v>
      </c>
      <c r="D32" s="1" t="str">
        <f t="shared" si="2"/>
        <v>3-404</v>
      </c>
      <c r="E32" s="1" t="s">
        <v>49</v>
      </c>
      <c r="H32" s="1">
        <v>50</v>
      </c>
      <c r="I32" s="1">
        <v>60.3</v>
      </c>
      <c r="K32" s="1">
        <f t="shared" si="3"/>
        <v>2.8557784079478277E-3</v>
      </c>
    </row>
    <row r="33" spans="1:11" x14ac:dyDescent="0.3">
      <c r="A33" s="1">
        <v>3</v>
      </c>
      <c r="B33" s="1">
        <v>400</v>
      </c>
      <c r="C33" s="1">
        <v>5</v>
      </c>
      <c r="D33" s="1" t="str">
        <f t="shared" si="2"/>
        <v>3-405</v>
      </c>
      <c r="E33" s="1" t="s">
        <v>50</v>
      </c>
      <c r="H33" s="1">
        <v>40</v>
      </c>
      <c r="I33" s="1">
        <v>48.3</v>
      </c>
      <c r="K33" s="1">
        <f t="shared" si="3"/>
        <v>1.8322475214082729E-3</v>
      </c>
    </row>
    <row r="34" spans="1:11" x14ac:dyDescent="0.3">
      <c r="A34" s="1">
        <v>2</v>
      </c>
      <c r="B34" s="1">
        <v>600</v>
      </c>
      <c r="C34" s="1">
        <v>1</v>
      </c>
      <c r="D34" s="1" t="str">
        <f t="shared" si="2"/>
        <v>2-601</v>
      </c>
      <c r="E34" s="1" t="s">
        <v>77</v>
      </c>
      <c r="H34" s="1">
        <v>65</v>
      </c>
      <c r="I34" s="1">
        <v>76.099999999999994</v>
      </c>
      <c r="K34" s="1">
        <f t="shared" si="3"/>
        <v>4.5484056978489359E-3</v>
      </c>
    </row>
    <row r="35" spans="1:11" x14ac:dyDescent="0.3">
      <c r="A35" s="1">
        <v>2</v>
      </c>
      <c r="B35" s="1">
        <v>600</v>
      </c>
      <c r="C35" s="1">
        <v>2</v>
      </c>
      <c r="D35" s="1" t="str">
        <f t="shared" si="2"/>
        <v>2-602</v>
      </c>
      <c r="E35" s="1" t="s">
        <v>78</v>
      </c>
      <c r="H35" s="1">
        <v>43</v>
      </c>
      <c r="I35" s="1">
        <v>43</v>
      </c>
      <c r="K35" s="1">
        <f t="shared" si="3"/>
        <v>1.4522012041218821E-3</v>
      </c>
    </row>
    <row r="36" spans="1:11" x14ac:dyDescent="0.3">
      <c r="A36" s="1">
        <v>2</v>
      </c>
      <c r="B36" s="1">
        <v>600</v>
      </c>
      <c r="C36" s="1">
        <v>3</v>
      </c>
      <c r="D36" s="1" t="str">
        <f t="shared" si="2"/>
        <v>2-603</v>
      </c>
      <c r="E36" s="1" t="s">
        <v>79</v>
      </c>
      <c r="H36" s="1">
        <v>50</v>
      </c>
      <c r="I36" s="1">
        <v>60.3</v>
      </c>
      <c r="K36" s="1">
        <f t="shared" si="3"/>
        <v>2.8557784079478277E-3</v>
      </c>
    </row>
    <row r="37" spans="1:11" x14ac:dyDescent="0.3">
      <c r="A37" s="1">
        <v>2</v>
      </c>
      <c r="B37" s="1">
        <v>600</v>
      </c>
      <c r="C37" s="1">
        <v>4</v>
      </c>
      <c r="D37" s="1" t="str">
        <f t="shared" si="2"/>
        <v>2-604</v>
      </c>
      <c r="E37" s="1" t="s">
        <v>80</v>
      </c>
      <c r="H37" s="1">
        <v>125</v>
      </c>
      <c r="I37" s="1">
        <v>139</v>
      </c>
      <c r="K37" s="1">
        <f t="shared" si="3"/>
        <v>1.5174677915002103E-2</v>
      </c>
    </row>
    <row r="38" spans="1:11" x14ac:dyDescent="0.3">
      <c r="A38" s="1">
        <v>2</v>
      </c>
      <c r="B38" s="1">
        <v>600</v>
      </c>
      <c r="C38" s="1">
        <v>5</v>
      </c>
      <c r="D38" s="1" t="str">
        <f t="shared" si="2"/>
        <v>2-605</v>
      </c>
      <c r="E38" s="1" t="s">
        <v>81</v>
      </c>
      <c r="H38" s="1">
        <v>100</v>
      </c>
      <c r="I38" s="1">
        <v>114</v>
      </c>
      <c r="K38" s="1">
        <f t="shared" si="3"/>
        <v>1.0207034531513238E-2</v>
      </c>
    </row>
    <row r="39" spans="1:11" x14ac:dyDescent="0.3">
      <c r="A39" s="1">
        <v>2</v>
      </c>
      <c r="B39" s="1">
        <v>600</v>
      </c>
      <c r="C39" s="1">
        <v>6</v>
      </c>
      <c r="D39" s="1" t="str">
        <f t="shared" si="2"/>
        <v>2-606</v>
      </c>
      <c r="E39" s="1" t="s">
        <v>82</v>
      </c>
      <c r="H39" s="1">
        <v>50</v>
      </c>
      <c r="I39" s="1">
        <v>60.3</v>
      </c>
      <c r="K39" s="1">
        <f t="shared" si="3"/>
        <v>2.8557784079478277E-3</v>
      </c>
    </row>
    <row r="40" spans="1:11" x14ac:dyDescent="0.3">
      <c r="A40" s="1">
        <v>3</v>
      </c>
      <c r="B40" s="1">
        <v>600</v>
      </c>
      <c r="C40" s="1">
        <v>1</v>
      </c>
      <c r="D40" s="1" t="str">
        <f t="shared" si="2"/>
        <v>3-601</v>
      </c>
      <c r="E40" s="1" t="s">
        <v>51</v>
      </c>
      <c r="H40" s="1">
        <v>50</v>
      </c>
      <c r="I40" s="1">
        <v>60.3</v>
      </c>
      <c r="K40" s="1">
        <f t="shared" si="3"/>
        <v>2.8557784079478277E-3</v>
      </c>
    </row>
    <row r="41" spans="1:11" x14ac:dyDescent="0.3">
      <c r="A41" s="1">
        <v>3</v>
      </c>
      <c r="B41" s="1">
        <v>600</v>
      </c>
      <c r="C41" s="1">
        <v>2</v>
      </c>
      <c r="D41" s="1" t="str">
        <f t="shared" si="2"/>
        <v>3-602</v>
      </c>
      <c r="E41" s="1" t="s">
        <v>52</v>
      </c>
      <c r="H41" s="1">
        <v>50</v>
      </c>
      <c r="I41" s="1">
        <v>60.3</v>
      </c>
      <c r="K41" s="1">
        <f t="shared" si="3"/>
        <v>2.8557784079478277E-3</v>
      </c>
    </row>
    <row r="42" spans="1:11" x14ac:dyDescent="0.3">
      <c r="A42" s="1">
        <v>3</v>
      </c>
      <c r="B42" s="1">
        <v>600</v>
      </c>
      <c r="C42" s="1">
        <v>3</v>
      </c>
      <c r="D42" s="1" t="str">
        <f t="shared" si="2"/>
        <v>3-603</v>
      </c>
      <c r="E42" s="1" t="s">
        <v>53</v>
      </c>
      <c r="H42" s="1">
        <v>50</v>
      </c>
      <c r="I42" s="1">
        <v>60.3</v>
      </c>
      <c r="K42" s="1">
        <f>PI()*(((I42-J42)*10^-3)^2/4)</f>
        <v>2.8557784079478277E-3</v>
      </c>
    </row>
    <row r="43" spans="1:11" x14ac:dyDescent="0.3">
      <c r="A43" s="1">
        <v>1</v>
      </c>
      <c r="B43" s="1">
        <v>700</v>
      </c>
      <c r="C43" s="1">
        <v>1</v>
      </c>
      <c r="D43" s="1" t="str">
        <f t="shared" si="2"/>
        <v>1-701</v>
      </c>
      <c r="E43" s="1" t="s">
        <v>60</v>
      </c>
      <c r="H43" s="1">
        <v>200</v>
      </c>
      <c r="I43" s="1">
        <v>220</v>
      </c>
      <c r="K43" s="1">
        <f t="shared" si="3"/>
        <v>3.8013271108436497E-2</v>
      </c>
    </row>
    <row r="44" spans="1:11" x14ac:dyDescent="0.3">
      <c r="A44" s="1">
        <v>1</v>
      </c>
      <c r="B44" s="1">
        <v>700</v>
      </c>
      <c r="C44" s="1">
        <v>2</v>
      </c>
      <c r="D44" s="1" t="str">
        <f t="shared" si="2"/>
        <v>1-702</v>
      </c>
      <c r="E44" s="1" t="s">
        <v>54</v>
      </c>
      <c r="H44" s="1">
        <v>80</v>
      </c>
      <c r="I44" s="1">
        <v>88.9</v>
      </c>
      <c r="K44" s="1">
        <f t="shared" si="3"/>
        <v>6.2071666189443481E-3</v>
      </c>
    </row>
    <row r="45" spans="1:11" x14ac:dyDescent="0.3">
      <c r="A45" s="1">
        <v>1</v>
      </c>
      <c r="B45" s="1">
        <v>700</v>
      </c>
      <c r="C45" s="1">
        <v>3</v>
      </c>
      <c r="D45" s="1" t="str">
        <f t="shared" si="2"/>
        <v>1-703</v>
      </c>
      <c r="E45" s="1" t="s">
        <v>55</v>
      </c>
      <c r="K45" s="1">
        <f t="shared" si="3"/>
        <v>0</v>
      </c>
    </row>
    <row r="46" spans="1:11" x14ac:dyDescent="0.3">
      <c r="A46" s="1">
        <v>1</v>
      </c>
      <c r="B46" s="1">
        <v>700</v>
      </c>
      <c r="C46" s="1">
        <v>4</v>
      </c>
      <c r="D46" s="1" t="str">
        <f t="shared" si="2"/>
        <v>1-704</v>
      </c>
      <c r="E46" s="1" t="s">
        <v>56</v>
      </c>
      <c r="K46" s="1">
        <f t="shared" si="3"/>
        <v>0</v>
      </c>
    </row>
    <row r="47" spans="1:11" x14ac:dyDescent="0.3">
      <c r="A47" s="1">
        <v>1</v>
      </c>
      <c r="B47" s="1">
        <v>700</v>
      </c>
      <c r="C47" s="1">
        <v>5</v>
      </c>
      <c r="D47" s="1" t="str">
        <f t="shared" si="2"/>
        <v>1-705</v>
      </c>
      <c r="E47" s="1" t="s">
        <v>57</v>
      </c>
      <c r="H47" s="1">
        <v>100</v>
      </c>
      <c r="I47" s="1">
        <v>114</v>
      </c>
      <c r="K47" s="1">
        <f t="shared" si="3"/>
        <v>1.0207034531513238E-2</v>
      </c>
    </row>
    <row r="48" spans="1:11" x14ac:dyDescent="0.3">
      <c r="A48" s="1">
        <v>1</v>
      </c>
      <c r="B48" s="1">
        <v>700</v>
      </c>
      <c r="C48" s="1">
        <v>6</v>
      </c>
      <c r="D48" s="1" t="str">
        <f t="shared" si="2"/>
        <v>1-706</v>
      </c>
      <c r="E48" s="1" t="s">
        <v>58</v>
      </c>
      <c r="H48" s="1">
        <v>65</v>
      </c>
      <c r="I48" s="1">
        <v>76.099999999999994</v>
      </c>
      <c r="K48" s="1">
        <f t="shared" si="3"/>
        <v>4.5484056978489359E-3</v>
      </c>
    </row>
    <row r="49" spans="1:11" x14ac:dyDescent="0.3">
      <c r="A49" s="1">
        <v>1</v>
      </c>
      <c r="B49" s="1">
        <v>700</v>
      </c>
      <c r="C49" s="1">
        <v>7</v>
      </c>
      <c r="D49" s="1" t="str">
        <f t="shared" si="2"/>
        <v>1-707</v>
      </c>
      <c r="E49" s="1" t="s">
        <v>59</v>
      </c>
      <c r="H49" s="1">
        <v>80</v>
      </c>
      <c r="I49" s="1">
        <v>88.9</v>
      </c>
      <c r="K49" s="1">
        <f t="shared" si="3"/>
        <v>6.2071666189443481E-3</v>
      </c>
    </row>
    <row r="50" spans="1:11" x14ac:dyDescent="0.3">
      <c r="A50" s="1">
        <v>1</v>
      </c>
      <c r="B50" s="1">
        <v>700</v>
      </c>
      <c r="C50" s="1">
        <v>8</v>
      </c>
      <c r="D50" s="1" t="str">
        <f t="shared" si="2"/>
        <v>1-708</v>
      </c>
      <c r="E50" s="1" t="s">
        <v>73</v>
      </c>
      <c r="H50" s="1">
        <v>125</v>
      </c>
      <c r="I50" s="1">
        <v>141</v>
      </c>
      <c r="K50" s="1">
        <f t="shared" si="3"/>
        <v>1.5614500886504672E-2</v>
      </c>
    </row>
    <row r="51" spans="1:11" x14ac:dyDescent="0.3">
      <c r="A51" s="1">
        <v>1</v>
      </c>
      <c r="B51" s="1">
        <v>800</v>
      </c>
      <c r="C51" s="1">
        <v>1</v>
      </c>
      <c r="D51" s="1" t="str">
        <f t="shared" si="2"/>
        <v>1-801</v>
      </c>
      <c r="E51" s="1" t="s">
        <v>61</v>
      </c>
      <c r="H51" s="1">
        <v>155</v>
      </c>
      <c r="I51" s="1">
        <v>155</v>
      </c>
      <c r="J51" s="1">
        <v>1.8</v>
      </c>
      <c r="K51" s="1">
        <f t="shared" si="3"/>
        <v>1.8433483390497326E-2</v>
      </c>
    </row>
    <row r="52" spans="1:11" x14ac:dyDescent="0.3">
      <c r="A52" s="1">
        <v>1</v>
      </c>
      <c r="B52" s="1">
        <v>800</v>
      </c>
      <c r="C52" s="1">
        <v>2</v>
      </c>
      <c r="D52" s="1" t="str">
        <f t="shared" si="2"/>
        <v>1-802</v>
      </c>
      <c r="E52" s="1" t="s">
        <v>63</v>
      </c>
      <c r="H52" s="1">
        <v>80</v>
      </c>
      <c r="I52" s="1">
        <v>88.9</v>
      </c>
      <c r="K52" s="1">
        <f t="shared" si="3"/>
        <v>6.2071666189443481E-3</v>
      </c>
    </row>
    <row r="53" spans="1:11" x14ac:dyDescent="0.3">
      <c r="A53" s="1">
        <v>1</v>
      </c>
      <c r="B53" s="1">
        <v>800</v>
      </c>
      <c r="C53" s="1">
        <v>3</v>
      </c>
      <c r="D53" s="1" t="str">
        <f t="shared" si="2"/>
        <v>1-803</v>
      </c>
      <c r="E53" s="1" t="s">
        <v>62</v>
      </c>
      <c r="H53" s="1">
        <v>125</v>
      </c>
      <c r="I53" s="1">
        <v>139.69999999999999</v>
      </c>
      <c r="K53" s="1">
        <f t="shared" si="3"/>
        <v>1.5327901242699303E-2</v>
      </c>
    </row>
    <row r="54" spans="1:11" x14ac:dyDescent="0.3">
      <c r="A54" s="1">
        <v>1</v>
      </c>
      <c r="B54" s="1">
        <v>900</v>
      </c>
      <c r="C54" s="1">
        <v>1</v>
      </c>
      <c r="D54" s="1" t="str">
        <f t="shared" si="2"/>
        <v>1-901</v>
      </c>
      <c r="E54" s="1" t="s">
        <v>69</v>
      </c>
      <c r="H54" s="1">
        <v>204</v>
      </c>
      <c r="I54" s="1">
        <v>204</v>
      </c>
      <c r="K54" s="1">
        <f t="shared" si="3"/>
        <v>3.2685129967948215E-2</v>
      </c>
    </row>
    <row r="55" spans="1:11" x14ac:dyDescent="0.3">
      <c r="A55" s="1">
        <v>1</v>
      </c>
      <c r="B55" s="1">
        <v>900</v>
      </c>
      <c r="C55" s="1">
        <v>2</v>
      </c>
      <c r="D55" s="1" t="str">
        <f t="shared" si="2"/>
        <v>1-902</v>
      </c>
      <c r="E55" s="1" t="s">
        <v>66</v>
      </c>
      <c r="H55" s="1">
        <v>204</v>
      </c>
      <c r="I55" s="1">
        <v>204</v>
      </c>
      <c r="K55" s="1">
        <f t="shared" si="3"/>
        <v>3.2685129967948215E-2</v>
      </c>
    </row>
    <row r="56" spans="1:11" x14ac:dyDescent="0.3">
      <c r="A56" s="1">
        <v>1</v>
      </c>
      <c r="B56" s="1">
        <v>900</v>
      </c>
      <c r="C56" s="1">
        <v>3</v>
      </c>
      <c r="D56" s="1" t="str">
        <f t="shared" si="2"/>
        <v>1-903</v>
      </c>
      <c r="E56" s="1" t="s">
        <v>65</v>
      </c>
      <c r="H56" s="1">
        <v>204</v>
      </c>
      <c r="I56" s="1">
        <v>204</v>
      </c>
      <c r="K56" s="1">
        <f t="shared" si="3"/>
        <v>3.2685129967948215E-2</v>
      </c>
    </row>
    <row r="57" spans="1:11" x14ac:dyDescent="0.3">
      <c r="A57" s="1">
        <v>1</v>
      </c>
      <c r="B57" s="1">
        <v>900</v>
      </c>
      <c r="C57" s="1">
        <v>4</v>
      </c>
      <c r="D57" s="1" t="str">
        <f t="shared" si="2"/>
        <v>1-904</v>
      </c>
      <c r="E57" s="1" t="s">
        <v>65</v>
      </c>
      <c r="H57" s="1">
        <v>155</v>
      </c>
      <c r="I57" s="1">
        <v>154</v>
      </c>
      <c r="K57" s="1">
        <f t="shared" si="3"/>
        <v>1.8626502843133885E-2</v>
      </c>
    </row>
    <row r="58" spans="1:11" x14ac:dyDescent="0.3">
      <c r="A58" s="1">
        <v>1</v>
      </c>
      <c r="B58" s="1">
        <v>900</v>
      </c>
      <c r="C58" s="1">
        <v>5</v>
      </c>
      <c r="D58" s="1" t="str">
        <f t="shared" si="2"/>
        <v>1-905</v>
      </c>
      <c r="E58" s="1" t="s">
        <v>64</v>
      </c>
      <c r="H58" s="1">
        <v>155</v>
      </c>
      <c r="I58" s="1">
        <v>154</v>
      </c>
      <c r="K58" s="1">
        <f t="shared" si="3"/>
        <v>1.8626502843133885E-2</v>
      </c>
    </row>
    <row r="59" spans="1:11" x14ac:dyDescent="0.3">
      <c r="A59" s="1">
        <v>1</v>
      </c>
      <c r="B59" s="1">
        <v>900</v>
      </c>
      <c r="C59" s="1">
        <v>6</v>
      </c>
      <c r="D59" s="1" t="str">
        <f t="shared" si="2"/>
        <v>1-906</v>
      </c>
      <c r="E59" s="1" t="s">
        <v>67</v>
      </c>
      <c r="H59" s="1">
        <v>80</v>
      </c>
      <c r="I59" s="1">
        <v>88.9</v>
      </c>
      <c r="K59" s="1">
        <f t="shared" si="3"/>
        <v>6.2071666189443481E-3</v>
      </c>
    </row>
    <row r="60" spans="1:11" x14ac:dyDescent="0.3">
      <c r="A60" s="1">
        <v>1</v>
      </c>
      <c r="B60" s="1">
        <v>900</v>
      </c>
      <c r="C60" s="1">
        <v>7</v>
      </c>
      <c r="D60" s="1" t="str">
        <f t="shared" si="2"/>
        <v>1-907</v>
      </c>
      <c r="E60" s="1" t="s">
        <v>68</v>
      </c>
      <c r="H60" s="1">
        <v>80</v>
      </c>
      <c r="I60" s="1">
        <v>88.9</v>
      </c>
      <c r="K60" s="1">
        <f t="shared" si="3"/>
        <v>6.2071666189443481E-3</v>
      </c>
    </row>
    <row r="61" spans="1:11" x14ac:dyDescent="0.3">
      <c r="A61" s="1">
        <v>1</v>
      </c>
      <c r="B61" s="1">
        <v>900</v>
      </c>
      <c r="C61" s="1">
        <v>8</v>
      </c>
      <c r="D61" s="1" t="str">
        <f t="shared" si="2"/>
        <v>1-908</v>
      </c>
      <c r="E61" s="1" t="s">
        <v>70</v>
      </c>
      <c r="H61" s="1">
        <v>125</v>
      </c>
      <c r="I61" s="1">
        <v>139.69999999999999</v>
      </c>
      <c r="K61" s="1">
        <f t="shared" si="3"/>
        <v>1.5327901242699303E-2</v>
      </c>
    </row>
    <row r="62" spans="1:11" x14ac:dyDescent="0.3">
      <c r="A62" s="1">
        <v>1</v>
      </c>
      <c r="B62" s="1">
        <v>900</v>
      </c>
      <c r="C62" s="1">
        <v>9</v>
      </c>
      <c r="D62" s="1" t="str">
        <f t="shared" si="2"/>
        <v>1-909</v>
      </c>
      <c r="E62" s="1" t="s">
        <v>71</v>
      </c>
      <c r="H62" s="1">
        <v>125</v>
      </c>
      <c r="I62" s="1">
        <v>139.69999999999999</v>
      </c>
      <c r="K62" s="1">
        <f t="shared" si="3"/>
        <v>1.5327901242699303E-2</v>
      </c>
    </row>
    <row r="63" spans="1:11" x14ac:dyDescent="0.3">
      <c r="A63" s="1">
        <v>2</v>
      </c>
      <c r="B63" s="1">
        <v>700</v>
      </c>
      <c r="C63" s="1">
        <v>1</v>
      </c>
      <c r="D63" s="1" t="str">
        <f t="shared" si="2"/>
        <v>2-701</v>
      </c>
      <c r="E63" s="1" t="s">
        <v>88</v>
      </c>
      <c r="H63" s="1">
        <v>150</v>
      </c>
      <c r="I63" s="1">
        <v>168.3</v>
      </c>
      <c r="K63" s="1">
        <f t="shared" ref="K63:K69" si="4">PI()*(((I63-J63)*10^-3)^2/4)</f>
        <v>2.2246316584434749E-2</v>
      </c>
    </row>
    <row r="64" spans="1:11" x14ac:dyDescent="0.3">
      <c r="A64" s="1">
        <v>2</v>
      </c>
      <c r="B64" s="1">
        <v>700</v>
      </c>
      <c r="C64" s="1">
        <v>2</v>
      </c>
      <c r="D64" s="1" t="str">
        <f t="shared" si="2"/>
        <v>2-702</v>
      </c>
      <c r="E64" s="1" t="s">
        <v>89</v>
      </c>
      <c r="H64" s="1">
        <v>100</v>
      </c>
      <c r="I64" s="1">
        <v>114</v>
      </c>
      <c r="K64" s="1">
        <f t="shared" si="4"/>
        <v>1.0207034531513238E-2</v>
      </c>
    </row>
    <row r="65" spans="1:11" x14ac:dyDescent="0.3">
      <c r="A65" s="1">
        <v>2</v>
      </c>
      <c r="B65" s="1">
        <v>700</v>
      </c>
      <c r="C65" s="1">
        <v>3</v>
      </c>
      <c r="D65" s="1" t="str">
        <f t="shared" si="2"/>
        <v>2-703</v>
      </c>
      <c r="E65" s="1" t="s">
        <v>90</v>
      </c>
      <c r="H65" s="1">
        <v>100</v>
      </c>
      <c r="I65" s="1">
        <v>114</v>
      </c>
      <c r="K65" s="1">
        <f t="shared" si="4"/>
        <v>1.0207034531513238E-2</v>
      </c>
    </row>
    <row r="66" spans="1:11" x14ac:dyDescent="0.3">
      <c r="A66" s="1">
        <v>2</v>
      </c>
      <c r="B66" s="1">
        <v>700</v>
      </c>
      <c r="C66" s="1">
        <v>4</v>
      </c>
      <c r="D66" s="1" t="str">
        <f t="shared" si="2"/>
        <v>2-704</v>
      </c>
      <c r="E66" s="1" t="s">
        <v>84</v>
      </c>
      <c r="H66" s="1">
        <v>65</v>
      </c>
      <c r="I66" s="1">
        <v>73</v>
      </c>
      <c r="K66" s="1">
        <f t="shared" si="4"/>
        <v>4.1853868127450016E-3</v>
      </c>
    </row>
    <row r="67" spans="1:11" x14ac:dyDescent="0.3">
      <c r="A67" s="1">
        <v>2</v>
      </c>
      <c r="B67" s="1">
        <v>700</v>
      </c>
      <c r="C67" s="1">
        <v>5</v>
      </c>
      <c r="D67" s="1" t="str">
        <f t="shared" si="2"/>
        <v>2-705</v>
      </c>
      <c r="E67" s="1" t="s">
        <v>85</v>
      </c>
      <c r="H67" s="1">
        <v>50</v>
      </c>
      <c r="I67" s="1">
        <v>60.3</v>
      </c>
      <c r="K67" s="1">
        <f t="shared" si="4"/>
        <v>2.8557784079478277E-3</v>
      </c>
    </row>
    <row r="68" spans="1:11" x14ac:dyDescent="0.3">
      <c r="A68" s="1">
        <v>2</v>
      </c>
      <c r="B68" s="1">
        <v>700</v>
      </c>
      <c r="C68" s="1">
        <v>6</v>
      </c>
      <c r="D68" s="1" t="str">
        <f t="shared" si="2"/>
        <v>2-706</v>
      </c>
      <c r="E68" s="1" t="s">
        <v>86</v>
      </c>
      <c r="H68" s="1">
        <v>65</v>
      </c>
      <c r="I68" s="1">
        <v>76.099999999999994</v>
      </c>
      <c r="K68" s="1">
        <f t="shared" si="4"/>
        <v>4.5484056978489359E-3</v>
      </c>
    </row>
    <row r="69" spans="1:11" x14ac:dyDescent="0.3">
      <c r="A69" s="1">
        <v>2</v>
      </c>
      <c r="B69" s="1">
        <v>700</v>
      </c>
      <c r="C69" s="1">
        <v>7</v>
      </c>
      <c r="D69" s="1" t="str">
        <f t="shared" si="2"/>
        <v>2-707</v>
      </c>
      <c r="E69" s="1" t="s">
        <v>87</v>
      </c>
      <c r="H69" s="1">
        <v>50</v>
      </c>
      <c r="I69" s="1">
        <v>60.3</v>
      </c>
      <c r="K69" s="1">
        <f t="shared" si="4"/>
        <v>2.8557784079478277E-3</v>
      </c>
    </row>
    <row r="70" spans="1:11" x14ac:dyDescent="0.3">
      <c r="A70" s="1">
        <v>4</v>
      </c>
      <c r="B70" s="1">
        <v>700</v>
      </c>
      <c r="C70" s="1">
        <v>1</v>
      </c>
      <c r="D70" s="1" t="str">
        <f>A70&amp;"-"&amp;(B70+C70)</f>
        <v>4-701</v>
      </c>
      <c r="E70" s="1" t="s">
        <v>91</v>
      </c>
      <c r="H70" s="1">
        <v>100</v>
      </c>
      <c r="I70" s="1">
        <v>114</v>
      </c>
      <c r="K70" s="1">
        <f>PI()*(((I70-J70)*10^-3)^2/4)</f>
        <v>1.0207034531513238E-2</v>
      </c>
    </row>
    <row r="71" spans="1:11" x14ac:dyDescent="0.3">
      <c r="A71" s="1">
        <v>4</v>
      </c>
      <c r="B71" s="1">
        <v>700</v>
      </c>
      <c r="C71" s="1">
        <v>2</v>
      </c>
      <c r="D71" s="1" t="str">
        <f>A71&amp;"-"&amp;(B71+C71)</f>
        <v>4-702</v>
      </c>
      <c r="E71" s="1" t="s">
        <v>91</v>
      </c>
      <c r="H71" s="1">
        <v>80</v>
      </c>
      <c r="I71" s="1">
        <v>88.9</v>
      </c>
      <c r="K71" s="1">
        <f>PI()*(((I71-J71)*10^-3)^2/4)</f>
        <v>6.2071666189443481E-3</v>
      </c>
    </row>
  </sheetData>
  <autoFilter ref="A1:M1" xr:uid="{80D9219E-119C-467C-9531-507D24E0A5C1}">
    <sortState xmlns:xlrd2="http://schemas.microsoft.com/office/spreadsheetml/2017/richdata2" ref="A2:M63">
      <sortCondition ref="B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dcterms:created xsi:type="dcterms:W3CDTF">2026-03-03T10:12:00Z</dcterms:created>
  <dcterms:modified xsi:type="dcterms:W3CDTF">2026-03-05T09:10:21Z</dcterms:modified>
</cp:coreProperties>
</file>
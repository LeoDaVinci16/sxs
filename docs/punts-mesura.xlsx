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sxs-impulsio\docs\"/>
    </mc:Choice>
  </mc:AlternateContent>
  <xr:revisionPtr revIDLastSave="0" documentId="13_ncr:1_{54445DE2-1441-4AF7-B417-8B7DBA88BF78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D7" i="1"/>
  <c r="D3" i="1"/>
  <c r="D8" i="1"/>
  <c r="D4" i="1"/>
  <c r="K6" i="1"/>
  <c r="K5" i="1"/>
  <c r="K7" i="1"/>
  <c r="K3" i="1"/>
  <c r="K8" i="1"/>
  <c r="K2" i="1"/>
  <c r="K4" i="1"/>
</calcChain>
</file>

<file path=xl/sharedStrings.xml><?xml version="1.0" encoding="utf-8"?>
<sst xmlns="http://schemas.openxmlformats.org/spreadsheetml/2006/main" count="42" uniqueCount="29">
  <si>
    <t>id</t>
  </si>
  <si>
    <t>source</t>
  </si>
  <si>
    <t>target</t>
  </si>
  <si>
    <t>OD</t>
  </si>
  <si>
    <t>area</t>
  </si>
  <si>
    <t>id_vell</t>
  </si>
  <si>
    <t>AT-1</t>
  </si>
  <si>
    <t>AT-2</t>
  </si>
  <si>
    <t>AT-3</t>
  </si>
  <si>
    <t>AT-4</t>
  </si>
  <si>
    <t>AT-5</t>
  </si>
  <si>
    <t>AT-6</t>
  </si>
  <si>
    <t>AT-7</t>
  </si>
  <si>
    <t>BV-105</t>
  </si>
  <si>
    <t>BV-107</t>
  </si>
  <si>
    <t>BV-106</t>
  </si>
  <si>
    <t>BV-108</t>
  </si>
  <si>
    <t>BV-104</t>
  </si>
  <si>
    <t>BV-109</t>
  </si>
  <si>
    <t>colector</t>
  </si>
  <si>
    <t>DN</t>
  </si>
  <si>
    <t>WT</t>
  </si>
  <si>
    <t>id_letter</t>
  </si>
  <si>
    <t>plant_number</t>
  </si>
  <si>
    <t>measure_number</t>
  </si>
  <si>
    <t>BV</t>
  </si>
  <si>
    <t>col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</si>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</sst>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dimension ref="A1:M21"/>
  <sheetViews>
    <sheetView tabSelected="1" zoomScale="85" zoomScaleNormal="85" workbookViewId="0">
      <selection activeCell="E16" sqref="E16"/>
    </sheetView>
  </sheetViews>
  <sheetFormatPr defaultRowHeight="14.4" x14ac:dyDescent="0.3"/>
  <cols>
    <col min="1" max="1" width="7" style="1" customWidth="1"/>
    <col min="2" max="2" width="13.44140625" style="1" customWidth="1"/>
    <col min="3" max="3" width="15.5546875" style="1" customWidth="1"/>
    <col min="4" max="4" width="10.77734375" style="1" customWidth="1"/>
    <col min="5" max="5" width="11.44140625" style="1" customWidth="1"/>
    <col min="6" max="10" width="8.88671875" style="1"/>
    <col min="11" max="11" width="8.33203125" style="1" customWidth="1"/>
    <col min="12" max="16384" width="8.88671875" style="1"/>
  </cols>
  <sheetData>
    <row r="1" spans="1:13" x14ac:dyDescent="0.3">
      <c r="A1" s="1" t="s">
        <v>22</v>
      </c>
      <c r="B1" s="1" t="s">
        <v>23</v>
      </c>
      <c r="C1" s="1" t="s">
        <v>24</v>
      </c>
      <c r="D1" s="1" t="s">
        <v>0</v>
      </c>
      <c r="E1" s="1" t="s">
        <v>5</v>
      </c>
      <c r="F1" s="1" t="s">
        <v>1</v>
      </c>
      <c r="G1" s="1" t="s">
        <v>2</v>
      </c>
      <c r="H1" s="1" t="s">
        <v>20</v>
      </c>
      <c r="I1" s="1" t="s">
        <v>3</v>
      </c>
      <c r="J1" s="1" t="s">
        <v>21</v>
      </c>
      <c r="K1" s="1" t="s">
        <v>4</v>
      </c>
      <c r="L1" s="1" t="s">
        <v>27</v>
      </c>
      <c r="M1" s="1" t="s">
        <v>28</v>
      </c>
    </row>
    <row r="2" spans="1:13" x14ac:dyDescent="0.3">
      <c r="A2" s="1" t="s">
        <v>25</v>
      </c>
      <c r="B2" s="1" t="s">
        <v>26</v>
      </c>
      <c r="C2" s="1">
        <v>7</v>
      </c>
      <c r="D2" s="1" t="s">
        <v>19</v>
      </c>
      <c r="E2" s="1" t="s">
        <v>12</v>
      </c>
      <c r="F2" s="1" t="s">
        <v>19</v>
      </c>
      <c r="H2" s="1">
        <v>350</v>
      </c>
      <c r="I2" s="1">
        <v>355.6</v>
      </c>
      <c r="J2" s="1">
        <v>8</v>
      </c>
      <c r="K2" s="1">
        <f t="shared" ref="K2:K8" si="0">PI()*(((I2-J2)*10^-3)^2/4)</f>
        <v>9.4896329995100878E-2</v>
      </c>
      <c r="L2" s="1">
        <v>20</v>
      </c>
      <c r="M2" s="1">
        <v>20</v>
      </c>
    </row>
    <row r="3" spans="1:13" x14ac:dyDescent="0.3">
      <c r="A3" s="1" t="s">
        <v>25</v>
      </c>
      <c r="B3" s="1">
        <v>104</v>
      </c>
      <c r="C3" s="1">
        <v>5</v>
      </c>
      <c r="D3" s="1" t="str">
        <f t="shared" ref="D3:D8" si="1">A3&amp;B3&amp;"-"&amp;C3</f>
        <v>BV104-5</v>
      </c>
      <c r="E3" s="1" t="s">
        <v>10</v>
      </c>
      <c r="F3" s="1" t="s">
        <v>17</v>
      </c>
      <c r="G3" s="1" t="s">
        <v>19</v>
      </c>
      <c r="H3" s="1">
        <v>150</v>
      </c>
      <c r="I3" s="1">
        <v>168.3</v>
      </c>
      <c r="J3" s="1">
        <v>4.8</v>
      </c>
      <c r="K3" s="1">
        <f t="shared" si="0"/>
        <v>2.0995460053481439E-2</v>
      </c>
      <c r="L3" s="1">
        <v>10</v>
      </c>
      <c r="M3" s="1">
        <v>10</v>
      </c>
    </row>
    <row r="4" spans="1:13" x14ac:dyDescent="0.3">
      <c r="A4" s="1" t="s">
        <v>25</v>
      </c>
      <c r="B4" s="1">
        <v>105</v>
      </c>
      <c r="C4" s="1">
        <v>1</v>
      </c>
      <c r="D4" s="1" t="str">
        <f t="shared" si="1"/>
        <v>BV105-1</v>
      </c>
      <c r="E4" s="1" t="s">
        <v>6</v>
      </c>
      <c r="F4" s="1" t="s">
        <v>13</v>
      </c>
      <c r="G4" s="1" t="s">
        <v>19</v>
      </c>
      <c r="H4" s="1">
        <v>150</v>
      </c>
      <c r="I4" s="1">
        <v>168.3</v>
      </c>
      <c r="J4" s="1">
        <v>4.8</v>
      </c>
      <c r="K4" s="1">
        <f t="shared" si="0"/>
        <v>2.0995460053481439E-2</v>
      </c>
      <c r="L4" s="1">
        <v>539</v>
      </c>
      <c r="M4" s="1">
        <v>700</v>
      </c>
    </row>
    <row r="5" spans="1:13" x14ac:dyDescent="0.3">
      <c r="A5" s="1" t="s">
        <v>25</v>
      </c>
      <c r="B5" s="1">
        <v>106</v>
      </c>
      <c r="C5" s="1">
        <v>3</v>
      </c>
      <c r="D5" s="1" t="str">
        <f t="shared" si="1"/>
        <v>BV106-3</v>
      </c>
      <c r="E5" s="1" t="s">
        <v>8</v>
      </c>
      <c r="F5" s="1" t="s">
        <v>15</v>
      </c>
      <c r="G5" s="1" t="s">
        <v>19</v>
      </c>
      <c r="H5" s="1">
        <v>150</v>
      </c>
      <c r="I5" s="1">
        <v>168.3</v>
      </c>
      <c r="J5" s="1">
        <v>4.8</v>
      </c>
      <c r="K5" s="1">
        <f t="shared" si="0"/>
        <v>2.0995460053481439E-2</v>
      </c>
      <c r="L5" s="1">
        <v>537</v>
      </c>
      <c r="M5" s="1">
        <v>821</v>
      </c>
    </row>
    <row r="6" spans="1:13" x14ac:dyDescent="0.3">
      <c r="A6" s="1" t="s">
        <v>25</v>
      </c>
      <c r="B6" s="1">
        <v>107</v>
      </c>
      <c r="C6" s="1">
        <v>2</v>
      </c>
      <c r="D6" s="1" t="str">
        <f t="shared" si="1"/>
        <v>BV107-2</v>
      </c>
      <c r="E6" s="1" t="s">
        <v>7</v>
      </c>
      <c r="F6" s="1" t="s">
        <v>14</v>
      </c>
      <c r="G6" s="1" t="s">
        <v>19</v>
      </c>
      <c r="H6" s="1">
        <v>150</v>
      </c>
      <c r="I6" s="1">
        <v>168.3</v>
      </c>
      <c r="J6" s="1">
        <v>4.8</v>
      </c>
      <c r="K6" s="1">
        <f t="shared" si="0"/>
        <v>2.0995460053481439E-2</v>
      </c>
      <c r="L6" s="1">
        <v>692</v>
      </c>
      <c r="M6" s="1">
        <v>709</v>
      </c>
    </row>
    <row r="7" spans="1:13" x14ac:dyDescent="0.3">
      <c r="A7" s="1" t="s">
        <v>25</v>
      </c>
      <c r="B7" s="1">
        <v>108</v>
      </c>
      <c r="C7" s="1">
        <v>4</v>
      </c>
      <c r="D7" s="1" t="str">
        <f t="shared" si="1"/>
        <v>BV108-4</v>
      </c>
      <c r="E7" s="1" t="s">
        <v>9</v>
      </c>
      <c r="F7" s="1" t="s">
        <v>16</v>
      </c>
      <c r="G7" s="1" t="s">
        <v>19</v>
      </c>
      <c r="H7" s="1">
        <v>150</v>
      </c>
      <c r="I7" s="1">
        <v>168.3</v>
      </c>
      <c r="J7" s="1">
        <v>4.8</v>
      </c>
      <c r="K7" s="1">
        <f t="shared" si="0"/>
        <v>2.0995460053481439E-2</v>
      </c>
      <c r="L7" s="1">
        <v>766</v>
      </c>
      <c r="M7" s="1">
        <v>770</v>
      </c>
    </row>
    <row r="8" spans="1:13" x14ac:dyDescent="0.3">
      <c r="A8" s="1" t="s">
        <v>25</v>
      </c>
      <c r="B8" s="1">
        <v>109</v>
      </c>
      <c r="C8" s="1">
        <v>6</v>
      </c>
      <c r="D8" s="1" t="str">
        <f t="shared" si="1"/>
        <v>BV109-6</v>
      </c>
      <c r="E8" s="1" t="s">
        <v>11</v>
      </c>
      <c r="F8" s="1" t="s">
        <v>18</v>
      </c>
      <c r="G8" s="1" t="s">
        <v>19</v>
      </c>
      <c r="H8" s="1">
        <v>150</v>
      </c>
      <c r="I8" s="1">
        <v>204</v>
      </c>
      <c r="J8" s="1">
        <v>4.8</v>
      </c>
      <c r="K8" s="1">
        <f t="shared" si="0"/>
        <v>3.116510177843532E-2</v>
      </c>
      <c r="L8" s="1">
        <v>694</v>
      </c>
      <c r="M8" s="1">
        <v>829</v>
      </c>
    </row>
    <row r="17" spans="5:5" x14ac:dyDescent="0.3">
      <c r="E17" s="2"/>
    </row>
    <row r="18" spans="5:5" x14ac:dyDescent="0.3">
      <c r="E18" s="2"/>
    </row>
    <row r="19" spans="5:5" x14ac:dyDescent="0.3">
      <c r="E19" s="2"/>
    </row>
    <row r="20" spans="5:5" x14ac:dyDescent="0.3">
      <c r="E20" s="2"/>
    </row>
    <row r="21" spans="5:5" x14ac:dyDescent="0.3">
      <c r="E21" s="2"/>
    </row>
  </sheetData>
  <autoFilter ref="A1:M1" xr:uid="{80D9219E-119C-467C-9531-507D24E0A5C1}">
    <sortState xmlns:xlrd2="http://schemas.microsoft.com/office/spreadsheetml/2017/richdata2" ref="A2:M63">
      <sortCondition ref="B1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dcterms:created xsi:type="dcterms:W3CDTF">2026-03-03T10:12:00Z</dcterms:created>
  <dcterms:modified xsi:type="dcterms:W3CDTF">2026-03-04T12:57:38Z</dcterms:modified>
</cp:coreProperties>
</file>
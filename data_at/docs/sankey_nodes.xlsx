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upersonic-at\data\docs\"/>
    </mc:Choice>
  </mc:AlternateContent>
  <xr:revisionPtr revIDLastSave="0" documentId="13_ncr:1_{03AB86B9-DE88-4113-A71F-7C729AD3D6D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K6" i="1" s="1"/>
  <c r="H7" i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H18" i="1"/>
  <c r="H19" i="1"/>
  <c r="H20" i="1"/>
  <c r="H21" i="1"/>
  <c r="H22" i="1"/>
  <c r="H23" i="1"/>
  <c r="H24" i="1"/>
  <c r="H25" i="1"/>
  <c r="H26" i="1"/>
  <c r="H27" i="1"/>
  <c r="K27" i="1" s="1"/>
  <c r="H28" i="1"/>
  <c r="K28" i="1" s="1"/>
  <c r="H29" i="1"/>
  <c r="K29" i="1" s="1"/>
  <c r="H30" i="1"/>
  <c r="K30" i="1" s="1"/>
  <c r="H31" i="1"/>
  <c r="H32" i="1"/>
  <c r="H33" i="1"/>
  <c r="H34" i="1"/>
  <c r="H35" i="1"/>
  <c r="K35" i="1" s="1"/>
  <c r="H36" i="1"/>
  <c r="K36" i="1" s="1"/>
  <c r="H37" i="1"/>
  <c r="K37" i="1" s="1"/>
  <c r="H38" i="1"/>
  <c r="K38" i="1" s="1"/>
  <c r="H39" i="1"/>
  <c r="K39" i="1" s="1"/>
  <c r="H40" i="1"/>
  <c r="K40" i="1" s="1"/>
  <c r="H41" i="1"/>
  <c r="K41" i="1" s="1"/>
  <c r="H42" i="1"/>
  <c r="K42" i="1" s="1"/>
  <c r="H43" i="1"/>
  <c r="K43" i="1" s="1"/>
  <c r="H44" i="1"/>
  <c r="K44" i="1" s="1"/>
  <c r="H45" i="1"/>
  <c r="H46" i="1"/>
  <c r="H47" i="1"/>
  <c r="H48" i="1"/>
  <c r="H49" i="1"/>
  <c r="H50" i="1"/>
  <c r="H51" i="1"/>
  <c r="H52" i="1"/>
  <c r="H53" i="1"/>
  <c r="H54" i="1"/>
  <c r="H55" i="1"/>
  <c r="H56" i="1"/>
  <c r="K56" i="1" s="1"/>
  <c r="H57" i="1"/>
  <c r="K57" i="1" s="1"/>
  <c r="H58" i="1"/>
  <c r="K58" i="1" s="1"/>
  <c r="H59" i="1"/>
  <c r="H60" i="1"/>
  <c r="H61" i="1"/>
  <c r="H62" i="1"/>
  <c r="H63" i="1"/>
  <c r="H64" i="1"/>
  <c r="H65" i="1"/>
  <c r="K65" i="1" s="1"/>
  <c r="H66" i="1"/>
  <c r="H67" i="1"/>
  <c r="H68" i="1"/>
  <c r="H69" i="1"/>
  <c r="H70" i="1"/>
  <c r="H71" i="1"/>
  <c r="H72" i="1"/>
  <c r="H2" i="1"/>
  <c r="K2" i="1" s="1"/>
  <c r="K3" i="1"/>
  <c r="K4" i="1"/>
  <c r="K5" i="1"/>
  <c r="K7" i="1"/>
  <c r="K17" i="1"/>
  <c r="K18" i="1"/>
  <c r="K19" i="1"/>
  <c r="K21" i="1"/>
  <c r="K26" i="1"/>
  <c r="K31" i="1"/>
  <c r="K45" i="1"/>
  <c r="K48" i="1"/>
  <c r="K49" i="1"/>
  <c r="K59" i="1"/>
  <c r="K61" i="1"/>
  <c r="K62" i="1"/>
  <c r="K63" i="1"/>
  <c r="K66" i="1"/>
  <c r="K67" i="1"/>
  <c r="K68" i="1"/>
  <c r="K69" i="1"/>
  <c r="K70" i="1"/>
  <c r="K71" i="1"/>
  <c r="K72" i="1"/>
  <c r="J6" i="1"/>
  <c r="K20" i="1"/>
  <c r="K22" i="1"/>
  <c r="K23" i="1"/>
  <c r="K24" i="1"/>
  <c r="K25" i="1"/>
  <c r="K32" i="1"/>
  <c r="K33" i="1"/>
  <c r="K34" i="1"/>
  <c r="K46" i="1"/>
  <c r="K47" i="1"/>
  <c r="K50" i="1"/>
  <c r="K51" i="1"/>
  <c r="K52" i="1"/>
  <c r="K53" i="1"/>
  <c r="K54" i="1"/>
  <c r="K55" i="1"/>
  <c r="K60" i="1"/>
  <c r="K64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2" i="1"/>
  <c r="I21" i="1"/>
</calcChain>
</file>

<file path=xl/sharedStrings.xml><?xml version="1.0" encoding="utf-8"?>
<sst xmlns="http://schemas.openxmlformats.org/spreadsheetml/2006/main" count="162" uniqueCount="79">
  <si>
    <t>source</t>
  </si>
  <si>
    <t>target</t>
  </si>
  <si>
    <t>AZ-101</t>
  </si>
  <si>
    <t>AZ-102</t>
  </si>
  <si>
    <t>AZ-103</t>
  </si>
  <si>
    <t>AZ-104</t>
  </si>
  <si>
    <t>BV-104</t>
  </si>
  <si>
    <t>BV-105</t>
  </si>
  <si>
    <t>BV-106</t>
  </si>
  <si>
    <t>PEC</t>
  </si>
  <si>
    <t>SIL-PEL</t>
  </si>
  <si>
    <t>LIQ-LIQ</t>
  </si>
  <si>
    <t>Y-120</t>
  </si>
  <si>
    <t>Y-160</t>
  </si>
  <si>
    <t>Y-170</t>
  </si>
  <si>
    <t>colector</t>
  </si>
  <si>
    <t>GF-ass</t>
  </si>
  <si>
    <t>nautas</t>
  </si>
  <si>
    <t>assecat</t>
  </si>
  <si>
    <t>E-900/E-1000</t>
  </si>
  <si>
    <t>V-700/V-800</t>
  </si>
  <si>
    <t>ext-sud</t>
  </si>
  <si>
    <t>ext-nord</t>
  </si>
  <si>
    <t>nom</t>
  </si>
  <si>
    <t>BV-107</t>
  </si>
  <si>
    <t>BV-108</t>
  </si>
  <si>
    <t>E-800</t>
  </si>
  <si>
    <t>P-400</t>
  </si>
  <si>
    <t>P-600</t>
  </si>
  <si>
    <t>SS-800</t>
  </si>
  <si>
    <t>EI-701</t>
  </si>
  <si>
    <t>EI-733</t>
  </si>
  <si>
    <t>E-100</t>
  </si>
  <si>
    <t>E-150</t>
  </si>
  <si>
    <t>E-101</t>
  </si>
  <si>
    <t>E-102</t>
  </si>
  <si>
    <t>ED-150</t>
  </si>
  <si>
    <t>EI-150</t>
  </si>
  <si>
    <t>SI-5003</t>
  </si>
  <si>
    <t>EI-801</t>
  </si>
  <si>
    <t>EI-806</t>
  </si>
  <si>
    <t>PI-601</t>
  </si>
  <si>
    <t>PR-601</t>
  </si>
  <si>
    <t>LI-651</t>
  </si>
  <si>
    <t>LI-660</t>
  </si>
  <si>
    <t>SB-670</t>
  </si>
  <si>
    <t>LI-671</t>
  </si>
  <si>
    <t>SI-801</t>
  </si>
  <si>
    <t>SI-802</t>
  </si>
  <si>
    <t>SR-710</t>
  </si>
  <si>
    <t>SR-810</t>
  </si>
  <si>
    <t>VI-710</t>
  </si>
  <si>
    <t>VI-810</t>
  </si>
  <si>
    <t>EI-906</t>
  </si>
  <si>
    <t>EI-1006</t>
  </si>
  <si>
    <t>EI-901</t>
  </si>
  <si>
    <t>EI-1001</t>
  </si>
  <si>
    <t>EI-752</t>
  </si>
  <si>
    <t>EI-772</t>
  </si>
  <si>
    <t>EI-7x2</t>
  </si>
  <si>
    <t>ER-750</t>
  </si>
  <si>
    <t>ER-770</t>
  </si>
  <si>
    <t>E-700</t>
  </si>
  <si>
    <t>OD</t>
  </si>
  <si>
    <t>SS-700B</t>
  </si>
  <si>
    <t>BV-109</t>
  </si>
  <si>
    <t>PK-201</t>
  </si>
  <si>
    <t>PK-202A</t>
  </si>
  <si>
    <t>PI-303</t>
  </si>
  <si>
    <t>PI-304</t>
  </si>
  <si>
    <t>DN</t>
  </si>
  <si>
    <t>index</t>
  </si>
  <si>
    <t>impulsio</t>
  </si>
  <si>
    <t>WT</t>
  </si>
  <si>
    <t>cabal m3h</t>
  </si>
  <si>
    <t>cabal m3s</t>
  </si>
  <si>
    <t>velocitat ms</t>
  </si>
  <si>
    <t>area m2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</si>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</sst>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b/>
      <sz val="9"/>
      <name val="Arial"/>
      <family val="2"/>
    </font>
    <font>
      <sz val="9"/>
      <name val="Arial"/>
      <family val="2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6"/>
  <sheetViews>
    <sheetView tabSelected="1" zoomScaleNormal="100" workbookViewId="0">
      <selection activeCell="L6" sqref="L6"/>
    </sheetView>
  </sheetViews>
  <sheetFormatPr defaultColWidth="11.5546875" defaultRowHeight="13.2" customHeight="1" x14ac:dyDescent="0.4"/>
  <cols>
    <col min="1" max="2" width="11.5546875" style="5"/>
    <col min="3" max="3" width="18.88671875" style="3" customWidth="1"/>
    <col min="4" max="16384" width="11.5546875" style="3"/>
  </cols>
  <sheetData>
    <row r="1" spans="1:11" ht="13.2" customHeight="1" x14ac:dyDescent="0.4">
      <c r="A1" s="4" t="s">
        <v>71</v>
      </c>
      <c r="B1" s="4" t="s">
        <v>23</v>
      </c>
      <c r="C1" s="1" t="s">
        <v>0</v>
      </c>
      <c r="D1" s="1" t="s">
        <v>1</v>
      </c>
      <c r="E1" s="1" t="s">
        <v>63</v>
      </c>
      <c r="F1" s="1" t="s">
        <v>70</v>
      </c>
      <c r="G1" s="1" t="s">
        <v>73</v>
      </c>
      <c r="H1" s="6" t="s">
        <v>77</v>
      </c>
      <c r="I1" s="1" t="s">
        <v>74</v>
      </c>
      <c r="J1" s="3" t="s">
        <v>75</v>
      </c>
      <c r="K1" s="3" t="s">
        <v>76</v>
      </c>
    </row>
    <row r="2" spans="1:11" ht="13.2" customHeight="1" x14ac:dyDescent="0.4">
      <c r="C2" s="2" t="s">
        <v>2</v>
      </c>
      <c r="D2" s="2" t="s">
        <v>72</v>
      </c>
      <c r="E2" s="2" t="s">
        <v>78</v>
      </c>
      <c r="F2" s="2"/>
      <c r="G2" s="2">
        <v>3</v>
      </c>
      <c r="H2" s="3" t="e">
        <f>(PI()/4)*((E2-2*G2)*10^-3)^2</f>
        <v>#VALUE!</v>
      </c>
      <c r="I2" s="2">
        <v>300</v>
      </c>
      <c r="J2" s="3">
        <f>I2/3600</f>
        <v>8.3333333333333329E-2</v>
      </c>
      <c r="K2" s="3" t="e">
        <f>J2/H2</f>
        <v>#VALUE!</v>
      </c>
    </row>
    <row r="3" spans="1:11" ht="13.2" customHeight="1" x14ac:dyDescent="0.4">
      <c r="C3" s="2" t="s">
        <v>3</v>
      </c>
      <c r="D3" s="2" t="s">
        <v>72</v>
      </c>
      <c r="E3" s="2" t="s">
        <v>78</v>
      </c>
      <c r="F3" s="2"/>
      <c r="G3" s="2">
        <v>3</v>
      </c>
      <c r="H3" s="3" t="e">
        <f t="shared" ref="H3:H66" si="0">(PI()/4)*((E3-2*G3)*10^-3)^2</f>
        <v>#VALUE!</v>
      </c>
      <c r="I3" s="2">
        <v>300</v>
      </c>
      <c r="J3" s="3">
        <f t="shared" ref="J3:J66" si="1">I3/3600</f>
        <v>8.3333333333333329E-2</v>
      </c>
      <c r="K3" s="3" t="e">
        <f t="shared" ref="K3:K66" si="2">J3/H3</f>
        <v>#VALUE!</v>
      </c>
    </row>
    <row r="4" spans="1:11" ht="13.2" customHeight="1" x14ac:dyDescent="0.4">
      <c r="C4" s="2" t="s">
        <v>4</v>
      </c>
      <c r="D4" s="2" t="s">
        <v>72</v>
      </c>
      <c r="E4" s="2" t="s">
        <v>78</v>
      </c>
      <c r="F4" s="2"/>
      <c r="G4" s="2">
        <v>3</v>
      </c>
      <c r="H4" s="3" t="e">
        <f t="shared" si="0"/>
        <v>#VALUE!</v>
      </c>
      <c r="I4" s="2">
        <v>300</v>
      </c>
      <c r="J4" s="3">
        <f t="shared" si="1"/>
        <v>8.3333333333333329E-2</v>
      </c>
      <c r="K4" s="3" t="e">
        <f t="shared" si="2"/>
        <v>#VALUE!</v>
      </c>
    </row>
    <row r="5" spans="1:11" ht="13.2" customHeight="1" x14ac:dyDescent="0.4">
      <c r="C5" s="2" t="s">
        <v>5</v>
      </c>
      <c r="D5" s="2" t="s">
        <v>72</v>
      </c>
      <c r="E5" s="2" t="s">
        <v>78</v>
      </c>
      <c r="F5" s="2"/>
      <c r="G5" s="2">
        <v>3</v>
      </c>
      <c r="H5" s="3" t="e">
        <f t="shared" si="0"/>
        <v>#VALUE!</v>
      </c>
      <c r="I5" s="2">
        <v>300</v>
      </c>
      <c r="J5" s="3">
        <f t="shared" si="1"/>
        <v>8.3333333333333329E-2</v>
      </c>
      <c r="K5" s="3" t="e">
        <f t="shared" si="2"/>
        <v>#VALUE!</v>
      </c>
    </row>
    <row r="6" spans="1:11" ht="13.2" customHeight="1" x14ac:dyDescent="0.4">
      <c r="C6" s="2" t="s">
        <v>72</v>
      </c>
      <c r="D6" s="2" t="s">
        <v>7</v>
      </c>
      <c r="E6" s="3">
        <v>222</v>
      </c>
      <c r="F6" s="2">
        <v>200</v>
      </c>
      <c r="G6" s="2">
        <v>3</v>
      </c>
      <c r="H6" s="3">
        <f t="shared" si="0"/>
        <v>3.6643536711471345E-2</v>
      </c>
      <c r="I6" s="2">
        <v>222</v>
      </c>
      <c r="J6" s="3">
        <f>I6/3600</f>
        <v>6.1666666666666668E-2</v>
      </c>
      <c r="K6" s="3">
        <f>J6/H6</f>
        <v>1.6828797709191039</v>
      </c>
    </row>
    <row r="7" spans="1:11" ht="13.2" customHeight="1" x14ac:dyDescent="0.4">
      <c r="C7" s="2" t="s">
        <v>72</v>
      </c>
      <c r="D7" s="2" t="s">
        <v>24</v>
      </c>
      <c r="E7" s="3">
        <v>222</v>
      </c>
      <c r="F7" s="2">
        <v>200</v>
      </c>
      <c r="G7" s="2">
        <v>3</v>
      </c>
      <c r="H7" s="3">
        <f t="shared" si="0"/>
        <v>3.6643536711471345E-2</v>
      </c>
      <c r="I7" s="2">
        <v>205</v>
      </c>
      <c r="J7" s="3">
        <f t="shared" si="1"/>
        <v>5.6944444444444443E-2</v>
      </c>
      <c r="K7" s="3">
        <f t="shared" si="2"/>
        <v>1.5540105992721454</v>
      </c>
    </row>
    <row r="8" spans="1:11" ht="13.2" customHeight="1" x14ac:dyDescent="0.4">
      <c r="C8" s="2" t="s">
        <v>72</v>
      </c>
      <c r="D8" s="2" t="s">
        <v>8</v>
      </c>
      <c r="E8" s="3">
        <v>222</v>
      </c>
      <c r="F8" s="2">
        <v>200</v>
      </c>
      <c r="G8" s="2">
        <v>3</v>
      </c>
      <c r="H8" s="3">
        <f t="shared" si="0"/>
        <v>3.6643536711471345E-2</v>
      </c>
      <c r="I8" s="2">
        <v>191</v>
      </c>
      <c r="J8" s="3">
        <f t="shared" si="1"/>
        <v>5.3055555555555557E-2</v>
      </c>
      <c r="K8" s="3">
        <f t="shared" si="2"/>
        <v>1.447883046151121</v>
      </c>
    </row>
    <row r="9" spans="1:11" ht="13.2" customHeight="1" x14ac:dyDescent="0.4">
      <c r="C9" s="2" t="s">
        <v>72</v>
      </c>
      <c r="D9" s="2" t="s">
        <v>25</v>
      </c>
      <c r="E9" s="3">
        <v>222</v>
      </c>
      <c r="F9" s="2">
        <v>200</v>
      </c>
      <c r="G9" s="2">
        <v>3</v>
      </c>
      <c r="H9" s="3">
        <f t="shared" si="0"/>
        <v>3.6643536711471345E-2</v>
      </c>
      <c r="I9" s="2">
        <v>231</v>
      </c>
      <c r="J9" s="3">
        <f t="shared" si="1"/>
        <v>6.4166666666666664E-2</v>
      </c>
      <c r="K9" s="3">
        <f t="shared" si="2"/>
        <v>1.7511046264969052</v>
      </c>
    </row>
    <row r="10" spans="1:11" ht="13.2" customHeight="1" x14ac:dyDescent="0.4">
      <c r="C10" s="2" t="s">
        <v>72</v>
      </c>
      <c r="D10" s="2" t="s">
        <v>6</v>
      </c>
      <c r="E10" s="3">
        <v>222</v>
      </c>
      <c r="F10" s="2">
        <v>200</v>
      </c>
      <c r="G10" s="2">
        <v>3</v>
      </c>
      <c r="H10" s="3">
        <f t="shared" si="0"/>
        <v>3.6643536711471345E-2</v>
      </c>
      <c r="I10" s="2">
        <v>203</v>
      </c>
      <c r="J10" s="3">
        <f t="shared" si="1"/>
        <v>5.6388888888888891E-2</v>
      </c>
      <c r="K10" s="3">
        <f t="shared" si="2"/>
        <v>1.5388495202548562</v>
      </c>
    </row>
    <row r="11" spans="1:11" ht="13.2" customHeight="1" x14ac:dyDescent="0.4">
      <c r="C11" s="2" t="s">
        <v>72</v>
      </c>
      <c r="D11" s="2" t="s">
        <v>65</v>
      </c>
      <c r="E11" s="2">
        <v>204</v>
      </c>
      <c r="F11" s="2">
        <v>204</v>
      </c>
      <c r="G11" s="2">
        <v>3</v>
      </c>
      <c r="H11" s="3">
        <f t="shared" si="0"/>
        <v>3.0790749597833563E-2</v>
      </c>
      <c r="I11" s="2">
        <v>170</v>
      </c>
      <c r="J11" s="3">
        <f t="shared" si="1"/>
        <v>4.7222222222222221E-2</v>
      </c>
      <c r="K11" s="3">
        <f t="shared" si="2"/>
        <v>1.5336496460464468</v>
      </c>
    </row>
    <row r="12" spans="1:11" ht="13.2" customHeight="1" x14ac:dyDescent="0.4">
      <c r="C12" s="2" t="s">
        <v>7</v>
      </c>
      <c r="D12" s="2" t="s">
        <v>15</v>
      </c>
      <c r="E12" s="2">
        <v>168.3</v>
      </c>
      <c r="F12" s="2">
        <v>150</v>
      </c>
      <c r="G12" s="2">
        <v>3</v>
      </c>
      <c r="H12" s="3">
        <f t="shared" si="0"/>
        <v>2.068840078751958E-2</v>
      </c>
      <c r="I12" s="2">
        <v>222</v>
      </c>
      <c r="J12" s="3">
        <f t="shared" si="1"/>
        <v>6.1666666666666668E-2</v>
      </c>
      <c r="K12" s="3">
        <f t="shared" si="2"/>
        <v>2.9807362734323819</v>
      </c>
    </row>
    <row r="13" spans="1:11" ht="13.2" customHeight="1" x14ac:dyDescent="0.4">
      <c r="C13" s="2" t="s">
        <v>24</v>
      </c>
      <c r="D13" s="2" t="s">
        <v>15</v>
      </c>
      <c r="E13" s="2">
        <v>168.3</v>
      </c>
      <c r="F13" s="2">
        <v>150</v>
      </c>
      <c r="G13" s="2">
        <v>3</v>
      </c>
      <c r="H13" s="3">
        <f t="shared" si="0"/>
        <v>2.068840078751958E-2</v>
      </c>
      <c r="I13" s="2">
        <v>205</v>
      </c>
      <c r="J13" s="3">
        <f t="shared" si="1"/>
        <v>5.6944444444444443E-2</v>
      </c>
      <c r="K13" s="3">
        <f t="shared" si="2"/>
        <v>2.7524816939353074</v>
      </c>
    </row>
    <row r="14" spans="1:11" ht="13.2" customHeight="1" x14ac:dyDescent="0.4">
      <c r="C14" s="2" t="s">
        <v>8</v>
      </c>
      <c r="D14" s="2" t="s">
        <v>15</v>
      </c>
      <c r="E14" s="2">
        <v>168.3</v>
      </c>
      <c r="F14" s="2">
        <v>150</v>
      </c>
      <c r="G14" s="2">
        <v>3</v>
      </c>
      <c r="H14" s="3">
        <f t="shared" si="0"/>
        <v>2.068840078751958E-2</v>
      </c>
      <c r="I14" s="2">
        <v>191</v>
      </c>
      <c r="J14" s="3">
        <f t="shared" si="1"/>
        <v>5.3055555555555557E-2</v>
      </c>
      <c r="K14" s="3">
        <f t="shared" si="2"/>
        <v>2.5645073343494817</v>
      </c>
    </row>
    <row r="15" spans="1:11" ht="13.2" customHeight="1" x14ac:dyDescent="0.4">
      <c r="C15" s="2" t="s">
        <v>25</v>
      </c>
      <c r="D15" s="2" t="s">
        <v>15</v>
      </c>
      <c r="E15" s="2">
        <v>168.3</v>
      </c>
      <c r="F15" s="2">
        <v>150</v>
      </c>
      <c r="G15" s="2">
        <v>3</v>
      </c>
      <c r="H15" s="3">
        <f t="shared" si="0"/>
        <v>2.068840078751958E-2</v>
      </c>
      <c r="I15" s="2">
        <v>231</v>
      </c>
      <c r="J15" s="3">
        <f t="shared" si="1"/>
        <v>6.4166666666666664E-2</v>
      </c>
      <c r="K15" s="3">
        <f t="shared" si="2"/>
        <v>3.1015769331661267</v>
      </c>
    </row>
    <row r="16" spans="1:11" ht="13.2" customHeight="1" x14ac:dyDescent="0.4">
      <c r="C16" s="2" t="s">
        <v>6</v>
      </c>
      <c r="D16" s="2" t="s">
        <v>15</v>
      </c>
      <c r="E16" s="2">
        <v>168.3</v>
      </c>
      <c r="F16" s="2">
        <v>150</v>
      </c>
      <c r="G16" s="2">
        <v>3</v>
      </c>
      <c r="H16" s="3">
        <f t="shared" si="0"/>
        <v>2.068840078751958E-2</v>
      </c>
      <c r="I16" s="2">
        <v>203</v>
      </c>
      <c r="J16" s="3">
        <f t="shared" si="1"/>
        <v>5.6388888888888891E-2</v>
      </c>
      <c r="K16" s="3">
        <f t="shared" si="2"/>
        <v>2.7256282139944754</v>
      </c>
    </row>
    <row r="17" spans="3:11" ht="13.2" customHeight="1" x14ac:dyDescent="0.4">
      <c r="C17" s="2" t="s">
        <v>15</v>
      </c>
      <c r="D17" s="2" t="s">
        <v>16</v>
      </c>
      <c r="E17" s="2" t="s">
        <v>78</v>
      </c>
      <c r="F17" s="2"/>
      <c r="G17" s="2">
        <v>3</v>
      </c>
      <c r="H17" s="3" t="e">
        <f t="shared" si="0"/>
        <v>#VALUE!</v>
      </c>
      <c r="I17" s="2"/>
      <c r="J17" s="3">
        <f t="shared" si="1"/>
        <v>0</v>
      </c>
      <c r="K17" s="3" t="e">
        <f t="shared" si="2"/>
        <v>#VALUE!</v>
      </c>
    </row>
    <row r="18" spans="3:11" ht="13.2" customHeight="1" x14ac:dyDescent="0.4">
      <c r="C18" s="2" t="s">
        <v>15</v>
      </c>
      <c r="D18" s="2" t="s">
        <v>17</v>
      </c>
      <c r="E18" s="2" t="s">
        <v>78</v>
      </c>
      <c r="F18" s="2"/>
      <c r="G18" s="2">
        <v>3</v>
      </c>
      <c r="H18" s="3" t="e">
        <f t="shared" si="0"/>
        <v>#VALUE!</v>
      </c>
      <c r="I18" s="2">
        <v>253</v>
      </c>
      <c r="J18" s="3">
        <f t="shared" si="1"/>
        <v>7.0277777777777772E-2</v>
      </c>
      <c r="K18" s="3" t="e">
        <f t="shared" si="2"/>
        <v>#VALUE!</v>
      </c>
    </row>
    <row r="19" spans="3:11" ht="13.2" customHeight="1" x14ac:dyDescent="0.4">
      <c r="C19" s="2" t="s">
        <v>15</v>
      </c>
      <c r="D19" s="2" t="s">
        <v>18</v>
      </c>
      <c r="E19" s="2" t="s">
        <v>78</v>
      </c>
      <c r="F19" s="2"/>
      <c r="G19" s="2">
        <v>3</v>
      </c>
      <c r="H19" s="3" t="e">
        <f t="shared" si="0"/>
        <v>#VALUE!</v>
      </c>
      <c r="I19" s="2">
        <v>1</v>
      </c>
      <c r="J19" s="3">
        <f t="shared" si="1"/>
        <v>2.7777777777777778E-4</v>
      </c>
      <c r="K19" s="3" t="e">
        <f t="shared" si="2"/>
        <v>#VALUE!</v>
      </c>
    </row>
    <row r="20" spans="3:11" ht="13.2" customHeight="1" x14ac:dyDescent="0.4">
      <c r="C20" s="2" t="s">
        <v>15</v>
      </c>
      <c r="D20" s="2" t="s">
        <v>9</v>
      </c>
      <c r="E20" s="2">
        <v>220</v>
      </c>
      <c r="F20" s="2">
        <v>200</v>
      </c>
      <c r="G20" s="2">
        <v>3</v>
      </c>
      <c r="H20" s="3">
        <f t="shared" si="0"/>
        <v>3.5968094290949541E-2</v>
      </c>
      <c r="I20" s="2">
        <v>124</v>
      </c>
      <c r="J20" s="3">
        <f t="shared" si="1"/>
        <v>3.4444444444444444E-2</v>
      </c>
      <c r="K20" s="3">
        <f t="shared" si="2"/>
        <v>0.95763884974888747</v>
      </c>
    </row>
    <row r="21" spans="3:11" ht="13.2" customHeight="1" x14ac:dyDescent="0.4">
      <c r="C21" s="2" t="s">
        <v>15</v>
      </c>
      <c r="D21" s="2" t="s">
        <v>62</v>
      </c>
      <c r="E21" s="2">
        <v>220</v>
      </c>
      <c r="F21" s="2">
        <v>200</v>
      </c>
      <c r="G21" s="2">
        <v>3</v>
      </c>
      <c r="H21" s="3">
        <f t="shared" si="0"/>
        <v>3.5968094290949541E-2</v>
      </c>
      <c r="I21" s="2">
        <f>75+41.18</f>
        <v>116.18</v>
      </c>
      <c r="J21" s="3">
        <f t="shared" si="1"/>
        <v>3.2272222222222223E-2</v>
      </c>
      <c r="K21" s="3">
        <f t="shared" si="2"/>
        <v>0.89724581906311085</v>
      </c>
    </row>
    <row r="22" spans="3:11" ht="13.2" customHeight="1" x14ac:dyDescent="0.4">
      <c r="C22" s="2" t="s">
        <v>15</v>
      </c>
      <c r="D22" s="2" t="s">
        <v>64</v>
      </c>
      <c r="E22" s="2">
        <v>114</v>
      </c>
      <c r="F22" s="2">
        <v>100</v>
      </c>
      <c r="G22" s="2">
        <v>3</v>
      </c>
      <c r="H22" s="3">
        <f t="shared" si="0"/>
        <v>9.1608841778678361E-3</v>
      </c>
      <c r="I22" s="2"/>
      <c r="J22" s="3">
        <f t="shared" si="1"/>
        <v>0</v>
      </c>
      <c r="K22" s="3">
        <f t="shared" si="2"/>
        <v>0</v>
      </c>
    </row>
    <row r="23" spans="3:11" ht="13.2" customHeight="1" x14ac:dyDescent="0.4">
      <c r="C23" s="2" t="s">
        <v>15</v>
      </c>
      <c r="D23" s="2" t="s">
        <v>20</v>
      </c>
      <c r="E23" s="2">
        <v>168.3</v>
      </c>
      <c r="F23" s="2">
        <v>150</v>
      </c>
      <c r="G23" s="2">
        <v>3</v>
      </c>
      <c r="H23" s="3">
        <f t="shared" si="0"/>
        <v>2.068840078751958E-2</v>
      </c>
      <c r="I23" s="2">
        <v>42.5</v>
      </c>
      <c r="J23" s="3">
        <f t="shared" si="1"/>
        <v>1.1805555555555555E-2</v>
      </c>
      <c r="K23" s="3">
        <f t="shared" si="2"/>
        <v>0.57063644874268571</v>
      </c>
    </row>
    <row r="24" spans="3:11" ht="13.2" customHeight="1" x14ac:dyDescent="0.4">
      <c r="C24" s="2" t="s">
        <v>15</v>
      </c>
      <c r="D24" s="2" t="s">
        <v>19</v>
      </c>
      <c r="E24" s="2">
        <v>204</v>
      </c>
      <c r="F24" s="2">
        <v>204</v>
      </c>
      <c r="G24" s="2">
        <v>3</v>
      </c>
      <c r="H24" s="3">
        <f t="shared" si="0"/>
        <v>3.0790749597833563E-2</v>
      </c>
      <c r="I24" s="2">
        <v>397</v>
      </c>
      <c r="J24" s="3">
        <f t="shared" si="1"/>
        <v>0.11027777777777778</v>
      </c>
      <c r="K24" s="3">
        <f t="shared" si="2"/>
        <v>3.5815229969437614</v>
      </c>
    </row>
    <row r="25" spans="3:11" ht="13.2" customHeight="1" x14ac:dyDescent="0.4">
      <c r="C25" s="2" t="s">
        <v>15</v>
      </c>
      <c r="D25" s="2" t="s">
        <v>21</v>
      </c>
      <c r="E25" s="2">
        <v>220</v>
      </c>
      <c r="F25" s="2">
        <v>200</v>
      </c>
      <c r="G25" s="2">
        <v>3</v>
      </c>
      <c r="H25" s="3">
        <f t="shared" si="0"/>
        <v>3.5968094290949541E-2</v>
      </c>
      <c r="I25" s="2">
        <v>32.6</v>
      </c>
      <c r="J25" s="3">
        <f t="shared" si="1"/>
        <v>9.0555555555555563E-3</v>
      </c>
      <c r="K25" s="3">
        <f t="shared" si="2"/>
        <v>0.25176634275656234</v>
      </c>
    </row>
    <row r="26" spans="3:11" ht="13.2" customHeight="1" x14ac:dyDescent="0.4">
      <c r="C26" s="2" t="s">
        <v>15</v>
      </c>
      <c r="D26" s="2" t="s">
        <v>22</v>
      </c>
      <c r="E26" s="2">
        <v>273</v>
      </c>
      <c r="F26" s="2">
        <v>250</v>
      </c>
      <c r="G26" s="2">
        <v>3</v>
      </c>
      <c r="H26" s="3">
        <f t="shared" si="0"/>
        <v>5.5990249670440695E-2</v>
      </c>
      <c r="I26" s="2">
        <v>87</v>
      </c>
      <c r="J26" s="3">
        <f t="shared" si="1"/>
        <v>2.4166666666666666E-2</v>
      </c>
      <c r="K26" s="3">
        <f t="shared" si="2"/>
        <v>0.43162277019502443</v>
      </c>
    </row>
    <row r="27" spans="3:11" ht="13.2" customHeight="1" x14ac:dyDescent="0.4">
      <c r="C27" s="2" t="s">
        <v>62</v>
      </c>
      <c r="D27" s="2" t="s">
        <v>12</v>
      </c>
      <c r="E27" s="2">
        <v>141</v>
      </c>
      <c r="F27" s="2">
        <v>125</v>
      </c>
      <c r="G27" s="2">
        <v>3</v>
      </c>
      <c r="H27" s="3">
        <f t="shared" si="0"/>
        <v>1.4313881527918496E-2</v>
      </c>
      <c r="I27" s="2">
        <v>75</v>
      </c>
      <c r="J27" s="3">
        <f t="shared" si="1"/>
        <v>2.0833333333333332E-2</v>
      </c>
      <c r="K27" s="3">
        <f t="shared" si="2"/>
        <v>1.4554635856597651</v>
      </c>
    </row>
    <row r="28" spans="3:11" ht="13.2" customHeight="1" x14ac:dyDescent="0.4">
      <c r="C28" s="2" t="s">
        <v>62</v>
      </c>
      <c r="D28" s="2" t="s">
        <v>31</v>
      </c>
      <c r="E28" s="2">
        <v>88.9</v>
      </c>
      <c r="F28" s="2">
        <v>80</v>
      </c>
      <c r="G28" s="2">
        <v>3</v>
      </c>
      <c r="H28" s="3">
        <f t="shared" si="0"/>
        <v>5.3975781921142578E-3</v>
      </c>
      <c r="I28" s="2">
        <v>41.18</v>
      </c>
      <c r="J28" s="3">
        <f t="shared" si="1"/>
        <v>1.1438888888888889E-2</v>
      </c>
      <c r="K28" s="3">
        <f t="shared" si="2"/>
        <v>2.1192632106007938</v>
      </c>
    </row>
    <row r="29" spans="3:11" ht="13.2" customHeight="1" x14ac:dyDescent="0.4">
      <c r="C29" s="2" t="s">
        <v>62</v>
      </c>
      <c r="D29" s="2" t="s">
        <v>61</v>
      </c>
      <c r="E29" s="2" t="s">
        <v>78</v>
      </c>
      <c r="F29" s="2"/>
      <c r="G29" s="2">
        <v>3</v>
      </c>
      <c r="H29" s="3" t="e">
        <f t="shared" si="0"/>
        <v>#VALUE!</v>
      </c>
      <c r="I29" s="2"/>
      <c r="J29" s="3">
        <f t="shared" si="1"/>
        <v>0</v>
      </c>
      <c r="K29" s="3" t="e">
        <f t="shared" si="2"/>
        <v>#VALUE!</v>
      </c>
    </row>
    <row r="30" spans="3:11" ht="13.2" customHeight="1" x14ac:dyDescent="0.4">
      <c r="C30" s="2" t="s">
        <v>62</v>
      </c>
      <c r="D30" s="2" t="s">
        <v>60</v>
      </c>
      <c r="E30" s="2" t="s">
        <v>78</v>
      </c>
      <c r="F30" s="2"/>
      <c r="G30" s="2">
        <v>3</v>
      </c>
      <c r="H30" s="3" t="e">
        <f t="shared" si="0"/>
        <v>#VALUE!</v>
      </c>
      <c r="I30" s="2"/>
      <c r="J30" s="3">
        <f t="shared" si="1"/>
        <v>0</v>
      </c>
      <c r="K30" s="3" t="e">
        <f t="shared" si="2"/>
        <v>#VALUE!</v>
      </c>
    </row>
    <row r="31" spans="3:11" ht="13.2" customHeight="1" x14ac:dyDescent="0.4">
      <c r="C31" s="2" t="s">
        <v>62</v>
      </c>
      <c r="D31" s="2" t="s">
        <v>59</v>
      </c>
      <c r="E31" s="2">
        <v>114</v>
      </c>
      <c r="F31" s="2">
        <v>100</v>
      </c>
      <c r="G31" s="2">
        <v>3</v>
      </c>
      <c r="H31" s="3">
        <f t="shared" si="0"/>
        <v>9.1608841778678361E-3</v>
      </c>
      <c r="I31" s="2"/>
      <c r="J31" s="3">
        <f t="shared" si="1"/>
        <v>0</v>
      </c>
      <c r="K31" s="3">
        <f t="shared" si="2"/>
        <v>0</v>
      </c>
    </row>
    <row r="32" spans="3:11" ht="13.2" customHeight="1" x14ac:dyDescent="0.4">
      <c r="C32" s="2" t="s">
        <v>64</v>
      </c>
      <c r="D32" s="2" t="s">
        <v>30</v>
      </c>
      <c r="E32" s="2">
        <v>88.9</v>
      </c>
      <c r="F32" s="2">
        <v>80</v>
      </c>
      <c r="G32" s="2">
        <v>3</v>
      </c>
      <c r="H32" s="3">
        <f t="shared" si="0"/>
        <v>5.3975781921142578E-3</v>
      </c>
      <c r="J32" s="3">
        <f t="shared" si="1"/>
        <v>0</v>
      </c>
      <c r="K32" s="3">
        <f t="shared" si="2"/>
        <v>0</v>
      </c>
    </row>
    <row r="33" spans="3:11" ht="13.2" customHeight="1" x14ac:dyDescent="0.4">
      <c r="C33" s="2" t="s">
        <v>22</v>
      </c>
      <c r="D33" s="2" t="s">
        <v>10</v>
      </c>
      <c r="E33" s="2">
        <v>114</v>
      </c>
      <c r="F33" s="2">
        <v>100</v>
      </c>
      <c r="G33" s="2">
        <v>3</v>
      </c>
      <c r="H33" s="3">
        <f t="shared" si="0"/>
        <v>9.1608841778678361E-3</v>
      </c>
      <c r="I33" s="2">
        <v>30.4</v>
      </c>
      <c r="J33" s="3">
        <f t="shared" si="1"/>
        <v>8.4444444444444437E-3</v>
      </c>
      <c r="K33" s="3">
        <f t="shared" si="2"/>
        <v>0.92179360425118473</v>
      </c>
    </row>
    <row r="34" spans="3:11" ht="13.2" customHeight="1" x14ac:dyDescent="0.4">
      <c r="C34" s="2" t="s">
        <v>22</v>
      </c>
      <c r="D34" s="2" t="s">
        <v>26</v>
      </c>
      <c r="E34" s="2">
        <v>204</v>
      </c>
      <c r="F34" s="2">
        <v>204</v>
      </c>
      <c r="G34" s="2">
        <v>3</v>
      </c>
      <c r="H34" s="3">
        <f t="shared" si="0"/>
        <v>3.0790749597833563E-2</v>
      </c>
      <c r="I34" s="2">
        <v>56.384974069999998</v>
      </c>
      <c r="J34" s="3">
        <f t="shared" si="1"/>
        <v>1.5662492797222222E-2</v>
      </c>
      <c r="K34" s="3">
        <f t="shared" si="2"/>
        <v>0.50867526779290351</v>
      </c>
    </row>
    <row r="35" spans="3:11" ht="13.2" customHeight="1" x14ac:dyDescent="0.4">
      <c r="C35" s="2" t="s">
        <v>21</v>
      </c>
      <c r="D35" s="2" t="s">
        <v>27</v>
      </c>
      <c r="E35" s="2">
        <v>88.9</v>
      </c>
      <c r="F35" s="2">
        <v>80</v>
      </c>
      <c r="G35" s="2">
        <v>3</v>
      </c>
      <c r="H35" s="3">
        <f t="shared" si="0"/>
        <v>5.3975781921142578E-3</v>
      </c>
      <c r="I35" s="2">
        <v>13.601897040000001</v>
      </c>
      <c r="J35" s="3">
        <f t="shared" si="1"/>
        <v>3.7783047333333334E-3</v>
      </c>
      <c r="K35" s="3">
        <f t="shared" si="2"/>
        <v>0.69999999978756267</v>
      </c>
    </row>
    <row r="36" spans="3:11" ht="13.2" customHeight="1" x14ac:dyDescent="0.4">
      <c r="C36" s="2" t="s">
        <v>21</v>
      </c>
      <c r="D36" s="2" t="s">
        <v>28</v>
      </c>
      <c r="E36" s="2">
        <v>60.3</v>
      </c>
      <c r="F36" s="2">
        <v>50</v>
      </c>
      <c r="G36" s="2">
        <v>3</v>
      </c>
      <c r="H36" s="3">
        <f t="shared" si="0"/>
        <v>2.3157386307957424E-3</v>
      </c>
      <c r="I36" s="2">
        <v>10.822828879999999</v>
      </c>
      <c r="J36" s="3">
        <f t="shared" si="1"/>
        <v>3.0063413555555555E-3</v>
      </c>
      <c r="K36" s="3">
        <f t="shared" si="2"/>
        <v>1.2982213603797359</v>
      </c>
    </row>
    <row r="37" spans="3:11" ht="13.2" customHeight="1" x14ac:dyDescent="0.4">
      <c r="C37" s="2" t="s">
        <v>21</v>
      </c>
      <c r="D37" s="2" t="s">
        <v>11</v>
      </c>
      <c r="E37" s="2">
        <v>76.099999999999994</v>
      </c>
      <c r="F37" s="2">
        <v>65</v>
      </c>
      <c r="G37" s="2">
        <v>3</v>
      </c>
      <c r="H37" s="3">
        <f t="shared" si="0"/>
        <v>3.8594544289166943E-3</v>
      </c>
      <c r="I37" s="2">
        <v>8.1686317729999995</v>
      </c>
      <c r="J37" s="3">
        <f t="shared" si="1"/>
        <v>2.2690643813888887E-3</v>
      </c>
      <c r="K37" s="3">
        <f t="shared" si="2"/>
        <v>0.58792361023570616</v>
      </c>
    </row>
    <row r="38" spans="3:11" ht="13.2" customHeight="1" x14ac:dyDescent="0.4">
      <c r="C38" s="2" t="s">
        <v>21</v>
      </c>
      <c r="D38" s="2" t="s">
        <v>29</v>
      </c>
      <c r="E38" s="2">
        <v>114</v>
      </c>
      <c r="F38" s="2">
        <v>100</v>
      </c>
      <c r="G38" s="2">
        <v>3</v>
      </c>
      <c r="H38" s="3">
        <f t="shared" si="0"/>
        <v>9.1608841778678361E-3</v>
      </c>
      <c r="I38" s="2">
        <v>0</v>
      </c>
      <c r="J38" s="3">
        <f t="shared" si="1"/>
        <v>0</v>
      </c>
      <c r="K38" s="3">
        <f t="shared" si="2"/>
        <v>0</v>
      </c>
    </row>
    <row r="39" spans="3:11" ht="13.2" customHeight="1" x14ac:dyDescent="0.4">
      <c r="C39" s="2" t="s">
        <v>9</v>
      </c>
      <c r="D39" s="2" t="s">
        <v>32</v>
      </c>
      <c r="E39" s="2">
        <v>141</v>
      </c>
      <c r="F39" s="2">
        <v>125</v>
      </c>
      <c r="G39" s="2">
        <v>3</v>
      </c>
      <c r="H39" s="3">
        <f t="shared" si="0"/>
        <v>1.4313881527918496E-2</v>
      </c>
      <c r="I39" s="2">
        <v>101.8421149</v>
      </c>
      <c r="J39" s="3">
        <f t="shared" si="1"/>
        <v>2.8289476361111111E-2</v>
      </c>
      <c r="K39" s="3">
        <f t="shared" si="2"/>
        <v>1.9763665296470374</v>
      </c>
    </row>
    <row r="40" spans="3:11" ht="13.2" customHeight="1" x14ac:dyDescent="0.4">
      <c r="C40" s="2" t="s">
        <v>9</v>
      </c>
      <c r="D40" s="2" t="s">
        <v>33</v>
      </c>
      <c r="E40" s="2">
        <v>220</v>
      </c>
      <c r="F40" s="2">
        <v>200</v>
      </c>
      <c r="G40" s="2">
        <v>3</v>
      </c>
      <c r="H40" s="3">
        <f t="shared" si="0"/>
        <v>3.5968094290949541E-2</v>
      </c>
      <c r="I40" s="2">
        <v>28</v>
      </c>
      <c r="J40" s="3">
        <f t="shared" si="1"/>
        <v>7.7777777777777776E-3</v>
      </c>
      <c r="K40" s="3">
        <f t="shared" si="2"/>
        <v>0.21624103058845845</v>
      </c>
    </row>
    <row r="41" spans="3:11" ht="13.2" customHeight="1" x14ac:dyDescent="0.4">
      <c r="C41" s="2" t="s">
        <v>32</v>
      </c>
      <c r="D41" s="2" t="s">
        <v>34</v>
      </c>
      <c r="E41" s="2">
        <v>88.9</v>
      </c>
      <c r="F41" s="2">
        <v>80</v>
      </c>
      <c r="G41" s="2">
        <v>3</v>
      </c>
      <c r="H41" s="3">
        <f t="shared" si="0"/>
        <v>5.3975781921142578E-3</v>
      </c>
      <c r="I41" s="2">
        <v>79.605544469999998</v>
      </c>
      <c r="J41" s="3">
        <f t="shared" si="1"/>
        <v>2.2112651241666666E-2</v>
      </c>
      <c r="K41" s="3">
        <f t="shared" si="2"/>
        <v>4.0967727478173011</v>
      </c>
    </row>
    <row r="42" spans="3:11" ht="13.2" customHeight="1" x14ac:dyDescent="0.4">
      <c r="C42" s="2" t="s">
        <v>32</v>
      </c>
      <c r="D42" s="2" t="s">
        <v>35</v>
      </c>
      <c r="E42" s="2">
        <v>88.9</v>
      </c>
      <c r="F42" s="2">
        <v>80</v>
      </c>
      <c r="G42" s="2">
        <v>3</v>
      </c>
      <c r="H42" s="3">
        <f t="shared" si="0"/>
        <v>5.3975781921142578E-3</v>
      </c>
      <c r="I42" s="2">
        <v>22.23657042</v>
      </c>
      <c r="J42" s="3">
        <f t="shared" si="1"/>
        <v>6.1768251166666663E-3</v>
      </c>
      <c r="K42" s="3">
        <f t="shared" si="2"/>
        <v>1.1443697333909624</v>
      </c>
    </row>
    <row r="43" spans="3:11" ht="13.2" customHeight="1" x14ac:dyDescent="0.4">
      <c r="C43" s="2" t="s">
        <v>33</v>
      </c>
      <c r="D43" s="2" t="s">
        <v>36</v>
      </c>
      <c r="E43" s="2">
        <v>60.3</v>
      </c>
      <c r="F43" s="2">
        <v>50</v>
      </c>
      <c r="G43" s="2">
        <v>3</v>
      </c>
      <c r="H43" s="3">
        <f t="shared" si="0"/>
        <v>2.3157386307957424E-3</v>
      </c>
      <c r="I43" s="2">
        <v>0</v>
      </c>
      <c r="J43" s="3">
        <f t="shared" si="1"/>
        <v>0</v>
      </c>
      <c r="K43" s="3">
        <f t="shared" si="2"/>
        <v>0</v>
      </c>
    </row>
    <row r="44" spans="3:11" ht="13.2" customHeight="1" x14ac:dyDescent="0.4">
      <c r="C44" s="2" t="s">
        <v>33</v>
      </c>
      <c r="D44" s="2" t="s">
        <v>37</v>
      </c>
      <c r="E44" s="2">
        <v>60.3</v>
      </c>
      <c r="F44" s="2">
        <v>50</v>
      </c>
      <c r="G44" s="2">
        <v>3</v>
      </c>
      <c r="H44" s="3">
        <f t="shared" si="0"/>
        <v>2.3157386307957424E-3</v>
      </c>
      <c r="I44" s="2">
        <v>28.217898309999999</v>
      </c>
      <c r="J44" s="3">
        <f t="shared" si="1"/>
        <v>7.8383050861111116E-3</v>
      </c>
      <c r="K44" s="3">
        <f t="shared" si="2"/>
        <v>3.3847969636442454</v>
      </c>
    </row>
    <row r="45" spans="3:11" ht="13.2" customHeight="1" x14ac:dyDescent="0.4">
      <c r="C45" s="2" t="s">
        <v>10</v>
      </c>
      <c r="D45" s="2" t="s">
        <v>66</v>
      </c>
      <c r="E45" s="2">
        <v>76.099999999999994</v>
      </c>
      <c r="F45" s="2">
        <v>65</v>
      </c>
      <c r="G45" s="2">
        <v>3</v>
      </c>
      <c r="H45" s="3">
        <f t="shared" si="0"/>
        <v>3.8594544289166943E-3</v>
      </c>
      <c r="I45" s="2">
        <v>15.34166403</v>
      </c>
      <c r="J45" s="3">
        <f t="shared" si="1"/>
        <v>4.2615733416666666E-3</v>
      </c>
      <c r="K45" s="3">
        <f t="shared" si="2"/>
        <v>1.1041906103974501</v>
      </c>
    </row>
    <row r="46" spans="3:11" ht="13.2" customHeight="1" x14ac:dyDescent="0.4">
      <c r="C46" s="2" t="s">
        <v>10</v>
      </c>
      <c r="D46" s="2" t="s">
        <v>67</v>
      </c>
      <c r="E46" s="2">
        <v>76.099999999999994</v>
      </c>
      <c r="F46" s="2">
        <v>65</v>
      </c>
      <c r="G46" s="2">
        <v>3</v>
      </c>
      <c r="H46" s="3">
        <f t="shared" si="0"/>
        <v>3.8594544289166943E-3</v>
      </c>
      <c r="I46" s="2">
        <v>13.89928536</v>
      </c>
      <c r="J46" s="3">
        <f t="shared" si="1"/>
        <v>3.8609126E-3</v>
      </c>
      <c r="K46" s="3">
        <f t="shared" si="2"/>
        <v>1.0003778179300111</v>
      </c>
    </row>
    <row r="47" spans="3:11" ht="13.2" customHeight="1" x14ac:dyDescent="0.4">
      <c r="C47" s="2" t="s">
        <v>10</v>
      </c>
      <c r="D47" s="2" t="s">
        <v>68</v>
      </c>
      <c r="E47" s="2">
        <v>60.3</v>
      </c>
      <c r="F47" s="2">
        <v>50</v>
      </c>
      <c r="G47" s="2">
        <v>3</v>
      </c>
      <c r="H47" s="3">
        <f t="shared" si="0"/>
        <v>2.3157386307957424E-3</v>
      </c>
      <c r="I47" s="2">
        <v>0</v>
      </c>
      <c r="J47" s="3">
        <f t="shared" si="1"/>
        <v>0</v>
      </c>
      <c r="K47" s="3">
        <f t="shared" si="2"/>
        <v>0</v>
      </c>
    </row>
    <row r="48" spans="3:11" ht="13.2" customHeight="1" x14ac:dyDescent="0.4">
      <c r="C48" s="2" t="s">
        <v>10</v>
      </c>
      <c r="D48" s="2" t="s">
        <v>69</v>
      </c>
      <c r="E48" s="2">
        <v>60.3</v>
      </c>
      <c r="F48" s="2">
        <v>50</v>
      </c>
      <c r="G48" s="2">
        <v>3</v>
      </c>
      <c r="H48" s="3">
        <f t="shared" si="0"/>
        <v>2.3157386307957424E-3</v>
      </c>
      <c r="I48" s="2">
        <v>0</v>
      </c>
      <c r="J48" s="3">
        <f t="shared" si="1"/>
        <v>0</v>
      </c>
      <c r="K48" s="3">
        <f t="shared" si="2"/>
        <v>0</v>
      </c>
    </row>
    <row r="49" spans="3:11" ht="13.2" customHeight="1" x14ac:dyDescent="0.4">
      <c r="C49" s="2" t="s">
        <v>10</v>
      </c>
      <c r="D49" s="2" t="s">
        <v>38</v>
      </c>
      <c r="E49" s="2">
        <v>42.2</v>
      </c>
      <c r="F49" s="2">
        <v>32</v>
      </c>
      <c r="G49" s="2">
        <v>3</v>
      </c>
      <c r="H49" s="3">
        <f t="shared" si="0"/>
        <v>1.0292171692425523E-3</v>
      </c>
      <c r="I49" s="2">
        <v>1.17621229</v>
      </c>
      <c r="J49" s="3">
        <f t="shared" si="1"/>
        <v>3.2672563611111115E-4</v>
      </c>
      <c r="K49" s="3">
        <f t="shared" si="2"/>
        <v>0.31745062740409141</v>
      </c>
    </row>
    <row r="50" spans="3:11" ht="13.2" customHeight="1" x14ac:dyDescent="0.4">
      <c r="C50" s="2" t="s">
        <v>26</v>
      </c>
      <c r="D50" s="2" t="s">
        <v>39</v>
      </c>
      <c r="E50" s="2">
        <v>88.9</v>
      </c>
      <c r="F50" s="2">
        <v>80</v>
      </c>
      <c r="G50" s="2">
        <v>3</v>
      </c>
      <c r="H50" s="3">
        <f t="shared" si="0"/>
        <v>5.3975781921142578E-3</v>
      </c>
      <c r="I50" s="2">
        <v>10.190084069999999</v>
      </c>
      <c r="J50" s="3">
        <f t="shared" si="1"/>
        <v>2.8305789083333333E-3</v>
      </c>
      <c r="K50" s="3">
        <f t="shared" si="2"/>
        <v>0.52441647116270518</v>
      </c>
    </row>
    <row r="51" spans="3:11" ht="13.2" customHeight="1" x14ac:dyDescent="0.4">
      <c r="C51" s="2" t="s">
        <v>26</v>
      </c>
      <c r="D51" s="2" t="s">
        <v>40</v>
      </c>
      <c r="E51" s="2">
        <v>139.69999999999999</v>
      </c>
      <c r="F51" s="2">
        <v>125</v>
      </c>
      <c r="G51" s="2">
        <v>3</v>
      </c>
      <c r="H51" s="3">
        <f t="shared" si="0"/>
        <v>1.4039534095462129E-2</v>
      </c>
      <c r="I51" s="2">
        <v>32.801418630000001</v>
      </c>
      <c r="J51" s="3">
        <f t="shared" si="1"/>
        <v>9.1115051749999995E-3</v>
      </c>
      <c r="K51" s="3">
        <f t="shared" si="2"/>
        <v>0.64898914116708672</v>
      </c>
    </row>
    <row r="52" spans="3:11" ht="13.2" customHeight="1" x14ac:dyDescent="0.4">
      <c r="C52" s="2" t="s">
        <v>28</v>
      </c>
      <c r="D52" s="2" t="s">
        <v>41</v>
      </c>
      <c r="E52" s="2">
        <v>60.3</v>
      </c>
      <c r="F52" s="2">
        <v>50</v>
      </c>
      <c r="G52" s="2">
        <v>3</v>
      </c>
      <c r="H52" s="3">
        <f t="shared" si="0"/>
        <v>2.3157386307957424E-3</v>
      </c>
      <c r="I52" s="2">
        <v>10.822828879999999</v>
      </c>
      <c r="J52" s="3">
        <f t="shared" si="1"/>
        <v>3.0063413555555555E-3</v>
      </c>
      <c r="K52" s="3">
        <f t="shared" si="2"/>
        <v>1.2982213603797359</v>
      </c>
    </row>
    <row r="53" spans="3:11" ht="13.2" customHeight="1" x14ac:dyDescent="0.4">
      <c r="C53" s="2" t="s">
        <v>28</v>
      </c>
      <c r="D53" s="2" t="s">
        <v>42</v>
      </c>
      <c r="E53" s="2">
        <v>60.3</v>
      </c>
      <c r="F53" s="2">
        <v>50</v>
      </c>
      <c r="G53" s="2">
        <v>3</v>
      </c>
      <c r="H53" s="3">
        <f t="shared" si="0"/>
        <v>2.3157386307957424E-3</v>
      </c>
      <c r="I53" s="2">
        <v>0</v>
      </c>
      <c r="J53" s="3">
        <f t="shared" si="1"/>
        <v>0</v>
      </c>
      <c r="K53" s="3">
        <f t="shared" si="2"/>
        <v>0</v>
      </c>
    </row>
    <row r="54" spans="3:11" ht="13.2" customHeight="1" x14ac:dyDescent="0.4">
      <c r="C54" s="2" t="s">
        <v>11</v>
      </c>
      <c r="D54" s="2" t="s">
        <v>43</v>
      </c>
      <c r="E54" s="2">
        <v>43</v>
      </c>
      <c r="F54" s="2">
        <v>43</v>
      </c>
      <c r="G54" s="2">
        <v>3</v>
      </c>
      <c r="H54" s="3">
        <f t="shared" si="0"/>
        <v>1.0752100856911066E-3</v>
      </c>
      <c r="I54" s="2"/>
      <c r="J54" s="3">
        <f t="shared" si="1"/>
        <v>0</v>
      </c>
      <c r="K54" s="3">
        <f t="shared" si="2"/>
        <v>0</v>
      </c>
    </row>
    <row r="55" spans="3:11" ht="13.2" customHeight="1" x14ac:dyDescent="0.4">
      <c r="C55" s="2" t="s">
        <v>11</v>
      </c>
      <c r="D55" s="2" t="s">
        <v>44</v>
      </c>
      <c r="E55" s="2">
        <v>48.3</v>
      </c>
      <c r="F55" s="2">
        <v>40</v>
      </c>
      <c r="G55" s="2">
        <v>3</v>
      </c>
      <c r="H55" s="3">
        <f t="shared" si="0"/>
        <v>1.4053050797854202E-3</v>
      </c>
      <c r="I55" s="2"/>
      <c r="J55" s="3">
        <f t="shared" si="1"/>
        <v>0</v>
      </c>
      <c r="K55" s="3">
        <f t="shared" si="2"/>
        <v>0</v>
      </c>
    </row>
    <row r="56" spans="3:11" ht="13.2" customHeight="1" x14ac:dyDescent="0.4">
      <c r="C56" s="2" t="s">
        <v>11</v>
      </c>
      <c r="D56" s="2" t="s">
        <v>45</v>
      </c>
      <c r="E56" s="2">
        <v>114</v>
      </c>
      <c r="F56" s="2">
        <v>100</v>
      </c>
      <c r="G56" s="2">
        <v>3</v>
      </c>
      <c r="H56" s="3">
        <f t="shared" si="0"/>
        <v>9.1608841778678361E-3</v>
      </c>
      <c r="I56" s="2"/>
      <c r="J56" s="3">
        <f t="shared" si="1"/>
        <v>0</v>
      </c>
      <c r="K56" s="3">
        <f t="shared" si="2"/>
        <v>0</v>
      </c>
    </row>
    <row r="57" spans="3:11" ht="13.2" customHeight="1" x14ac:dyDescent="0.4">
      <c r="C57" s="2" t="s">
        <v>11</v>
      </c>
      <c r="D57" s="2" t="s">
        <v>46</v>
      </c>
      <c r="E57" s="2">
        <v>60.3</v>
      </c>
      <c r="F57" s="2">
        <v>50</v>
      </c>
      <c r="G57" s="2">
        <v>3</v>
      </c>
      <c r="H57" s="3">
        <f t="shared" si="0"/>
        <v>2.3157386307957424E-3</v>
      </c>
      <c r="I57" s="2">
        <v>8.1686317729999995</v>
      </c>
      <c r="J57" s="3">
        <f t="shared" si="1"/>
        <v>2.2690643813888887E-3</v>
      </c>
      <c r="K57" s="3">
        <f t="shared" si="2"/>
        <v>0.97984476797762998</v>
      </c>
    </row>
    <row r="58" spans="3:11" ht="13.2" customHeight="1" x14ac:dyDescent="0.4">
      <c r="C58" s="2" t="s">
        <v>29</v>
      </c>
      <c r="D58" s="2" t="s">
        <v>47</v>
      </c>
      <c r="E58" s="2">
        <v>88.9</v>
      </c>
      <c r="F58" s="2">
        <v>80</v>
      </c>
      <c r="G58" s="2">
        <v>3</v>
      </c>
      <c r="H58" s="3">
        <f t="shared" si="0"/>
        <v>5.3975781921142578E-3</v>
      </c>
      <c r="I58" s="2">
        <v>1</v>
      </c>
      <c r="J58" s="3">
        <f t="shared" si="1"/>
        <v>2.7777777777777778E-4</v>
      </c>
      <c r="K58" s="3">
        <f t="shared" si="2"/>
        <v>5.1463409679475318E-2</v>
      </c>
    </row>
    <row r="59" spans="3:11" ht="13.2" customHeight="1" x14ac:dyDescent="0.4">
      <c r="C59" s="2" t="s">
        <v>29</v>
      </c>
      <c r="D59" s="2" t="s">
        <v>48</v>
      </c>
      <c r="E59" s="2">
        <v>60.3</v>
      </c>
      <c r="F59" s="2">
        <v>50</v>
      </c>
      <c r="G59" s="2">
        <v>3</v>
      </c>
      <c r="H59" s="3">
        <f t="shared" si="0"/>
        <v>2.3157386307957424E-3</v>
      </c>
      <c r="I59" s="2">
        <v>1</v>
      </c>
      <c r="J59" s="3">
        <f t="shared" si="1"/>
        <v>2.7777777777777778E-4</v>
      </c>
      <c r="K59" s="3">
        <f t="shared" si="2"/>
        <v>0.11995212848452021</v>
      </c>
    </row>
    <row r="60" spans="3:11" ht="13.2" customHeight="1" x14ac:dyDescent="0.4">
      <c r="C60" s="2" t="s">
        <v>20</v>
      </c>
      <c r="D60" s="2" t="s">
        <v>49</v>
      </c>
      <c r="E60" s="2">
        <v>60.3</v>
      </c>
      <c r="F60" s="2">
        <v>50</v>
      </c>
      <c r="G60" s="2">
        <v>3</v>
      </c>
      <c r="H60" s="3">
        <f t="shared" si="0"/>
        <v>2.3157386307957424E-3</v>
      </c>
      <c r="I60" s="2"/>
      <c r="J60" s="3">
        <f t="shared" si="1"/>
        <v>0</v>
      </c>
      <c r="K60" s="3">
        <f t="shared" si="2"/>
        <v>0</v>
      </c>
    </row>
    <row r="61" spans="3:11" ht="13.2" customHeight="1" x14ac:dyDescent="0.4">
      <c r="C61" s="2" t="s">
        <v>20</v>
      </c>
      <c r="D61" s="2" t="s">
        <v>50</v>
      </c>
      <c r="E61" s="2">
        <v>60.3</v>
      </c>
      <c r="F61" s="2">
        <v>50</v>
      </c>
      <c r="G61" s="2">
        <v>3</v>
      </c>
      <c r="H61" s="3">
        <f t="shared" si="0"/>
        <v>2.3157386307957424E-3</v>
      </c>
      <c r="I61" s="2"/>
      <c r="J61" s="3">
        <f t="shared" si="1"/>
        <v>0</v>
      </c>
      <c r="K61" s="3">
        <f t="shared" si="2"/>
        <v>0</v>
      </c>
    </row>
    <row r="62" spans="3:11" ht="13.2" customHeight="1" x14ac:dyDescent="0.4">
      <c r="C62" s="2" t="s">
        <v>20</v>
      </c>
      <c r="D62" s="2" t="s">
        <v>51</v>
      </c>
      <c r="E62" s="2">
        <v>73</v>
      </c>
      <c r="F62" s="2">
        <v>73</v>
      </c>
      <c r="G62" s="2">
        <v>3</v>
      </c>
      <c r="H62" s="3">
        <f t="shared" si="0"/>
        <v>3.5256523554911458E-3</v>
      </c>
      <c r="I62" s="2">
        <v>17.134670450000002</v>
      </c>
      <c r="J62" s="3">
        <f t="shared" si="1"/>
        <v>4.7596306805555563E-3</v>
      </c>
      <c r="K62" s="3">
        <f t="shared" si="2"/>
        <v>1.3500000001822385</v>
      </c>
    </row>
    <row r="63" spans="3:11" ht="13.2" customHeight="1" x14ac:dyDescent="0.4">
      <c r="C63" s="2" t="s">
        <v>20</v>
      </c>
      <c r="D63" s="2" t="s">
        <v>52</v>
      </c>
      <c r="E63" s="2">
        <v>76.099999999999994</v>
      </c>
      <c r="F63" s="2">
        <v>65</v>
      </c>
      <c r="G63" s="2">
        <v>3</v>
      </c>
      <c r="H63" s="3">
        <f t="shared" si="0"/>
        <v>3.8594544289166943E-3</v>
      </c>
      <c r="I63" s="2">
        <v>25.380859569999998</v>
      </c>
      <c r="J63" s="3">
        <f t="shared" si="1"/>
        <v>7.0502387694444443E-3</v>
      </c>
      <c r="K63" s="3">
        <f t="shared" si="2"/>
        <v>1.8267449193391221</v>
      </c>
    </row>
    <row r="64" spans="3:11" ht="13.2" customHeight="1" x14ac:dyDescent="0.4">
      <c r="C64" s="2" t="s">
        <v>19</v>
      </c>
      <c r="D64" s="2" t="s">
        <v>53</v>
      </c>
      <c r="E64" s="2">
        <v>139.69999999999999</v>
      </c>
      <c r="F64" s="2">
        <v>125</v>
      </c>
      <c r="G64" s="2">
        <v>3</v>
      </c>
      <c r="H64" s="3">
        <f t="shared" si="0"/>
        <v>1.4039534095462129E-2</v>
      </c>
      <c r="I64" s="2">
        <v>150</v>
      </c>
      <c r="J64" s="3">
        <f t="shared" si="1"/>
        <v>4.1666666666666664E-2</v>
      </c>
      <c r="K64" s="3">
        <f t="shared" si="2"/>
        <v>2.9678097850935239</v>
      </c>
    </row>
    <row r="65" spans="3:11" ht="13.2" customHeight="1" x14ac:dyDescent="0.4">
      <c r="C65" s="2" t="s">
        <v>19</v>
      </c>
      <c r="D65" s="2" t="s">
        <v>54</v>
      </c>
      <c r="E65" s="2">
        <v>139.69999999999999</v>
      </c>
      <c r="F65" s="2">
        <v>125</v>
      </c>
      <c r="G65" s="2">
        <v>3</v>
      </c>
      <c r="H65" s="3">
        <f t="shared" si="0"/>
        <v>1.4039534095462129E-2</v>
      </c>
      <c r="I65" s="2">
        <v>44</v>
      </c>
      <c r="J65" s="3">
        <f t="shared" si="1"/>
        <v>1.2222222222222223E-2</v>
      </c>
      <c r="K65" s="3">
        <f t="shared" si="2"/>
        <v>0.8705575369607671</v>
      </c>
    </row>
    <row r="66" spans="3:11" ht="13.2" customHeight="1" x14ac:dyDescent="0.4">
      <c r="C66" s="2" t="s">
        <v>19</v>
      </c>
      <c r="D66" s="2" t="s">
        <v>55</v>
      </c>
      <c r="E66" s="2">
        <v>88.9</v>
      </c>
      <c r="F66" s="2">
        <v>80</v>
      </c>
      <c r="G66" s="2">
        <v>3</v>
      </c>
      <c r="H66" s="3">
        <f t="shared" si="0"/>
        <v>5.3975781921142578E-3</v>
      </c>
      <c r="I66" s="2">
        <v>47</v>
      </c>
      <c r="J66" s="3">
        <f t="shared" si="1"/>
        <v>1.3055555555555556E-2</v>
      </c>
      <c r="K66" s="3">
        <f t="shared" si="2"/>
        <v>2.4187802549353399</v>
      </c>
    </row>
    <row r="67" spans="3:11" ht="13.2" customHeight="1" x14ac:dyDescent="0.4">
      <c r="C67" s="2" t="s">
        <v>19</v>
      </c>
      <c r="D67" s="2" t="s">
        <v>56</v>
      </c>
      <c r="E67" s="2">
        <v>88.9</v>
      </c>
      <c r="F67" s="2">
        <v>80</v>
      </c>
      <c r="G67" s="2">
        <v>3</v>
      </c>
      <c r="H67" s="3">
        <f t="shared" ref="H67:H72" si="3">(PI()/4)*((E67-2*G67)*10^-3)^2</f>
        <v>5.3975781921142578E-3</v>
      </c>
      <c r="I67" s="2">
        <v>67</v>
      </c>
      <c r="J67" s="3">
        <f t="shared" ref="J67:J72" si="4">I67/3600</f>
        <v>1.861111111111111E-2</v>
      </c>
      <c r="K67" s="3">
        <f t="shared" ref="K67:K72" si="5">J67/H67</f>
        <v>3.4480484485248462</v>
      </c>
    </row>
    <row r="68" spans="3:11" ht="13.2" customHeight="1" x14ac:dyDescent="0.4">
      <c r="C68" s="2" t="s">
        <v>59</v>
      </c>
      <c r="D68" s="2" t="s">
        <v>57</v>
      </c>
      <c r="E68" s="2">
        <v>88.9</v>
      </c>
      <c r="F68" s="2">
        <v>80</v>
      </c>
      <c r="G68" s="2">
        <v>3</v>
      </c>
      <c r="H68" s="3">
        <f t="shared" si="3"/>
        <v>5.3975781921142578E-3</v>
      </c>
      <c r="I68" s="2">
        <v>4.4124925460000002</v>
      </c>
      <c r="J68" s="3">
        <f t="shared" si="4"/>
        <v>1.225692373888889E-3</v>
      </c>
      <c r="K68" s="3">
        <f t="shared" si="5"/>
        <v>0.2270819116024291</v>
      </c>
    </row>
    <row r="69" spans="3:11" ht="13.2" customHeight="1" x14ac:dyDescent="0.4">
      <c r="C69" s="2" t="s">
        <v>59</v>
      </c>
      <c r="D69" s="2" t="s">
        <v>58</v>
      </c>
      <c r="E69" s="2">
        <v>76.099999999999994</v>
      </c>
      <c r="F69" s="2">
        <v>65</v>
      </c>
      <c r="G69" s="2">
        <v>3</v>
      </c>
      <c r="H69" s="3">
        <f t="shared" si="3"/>
        <v>3.8594544289166943E-3</v>
      </c>
      <c r="I69" s="2">
        <v>12.50206221</v>
      </c>
      <c r="J69" s="3">
        <f t="shared" si="4"/>
        <v>3.4727950583333333E-3</v>
      </c>
      <c r="K69" s="3">
        <f t="shared" si="5"/>
        <v>0.89981501849423517</v>
      </c>
    </row>
    <row r="70" spans="3:11" ht="13.2" customHeight="1" x14ac:dyDescent="0.4">
      <c r="C70" s="2" t="s">
        <v>65</v>
      </c>
      <c r="D70" s="2" t="s">
        <v>12</v>
      </c>
      <c r="E70" s="2">
        <v>129</v>
      </c>
      <c r="F70" s="2">
        <v>129</v>
      </c>
      <c r="G70" s="2">
        <v>3</v>
      </c>
      <c r="H70" s="3">
        <f t="shared" si="3"/>
        <v>1.1882288814039995E-2</v>
      </c>
      <c r="I70" s="2">
        <v>0</v>
      </c>
      <c r="J70" s="3">
        <f t="shared" si="4"/>
        <v>0</v>
      </c>
      <c r="K70" s="3">
        <f t="shared" si="5"/>
        <v>0</v>
      </c>
    </row>
    <row r="71" spans="3:11" ht="13.2" customHeight="1" x14ac:dyDescent="0.4">
      <c r="C71" s="2" t="s">
        <v>65</v>
      </c>
      <c r="D71" s="2" t="s">
        <v>13</v>
      </c>
      <c r="E71" s="2">
        <v>129</v>
      </c>
      <c r="F71" s="2">
        <v>129</v>
      </c>
      <c r="G71" s="2">
        <v>3</v>
      </c>
      <c r="H71" s="3">
        <f t="shared" si="3"/>
        <v>1.1882288814039995E-2</v>
      </c>
      <c r="I71" s="2">
        <v>75</v>
      </c>
      <c r="J71" s="3">
        <f t="shared" si="4"/>
        <v>2.0833333333333332E-2</v>
      </c>
      <c r="K71" s="3">
        <f t="shared" si="5"/>
        <v>1.7533097923622991</v>
      </c>
    </row>
    <row r="72" spans="3:11" ht="13.2" customHeight="1" x14ac:dyDescent="0.4">
      <c r="C72" s="2" t="s">
        <v>65</v>
      </c>
      <c r="D72" s="2" t="s">
        <v>14</v>
      </c>
      <c r="E72" s="2">
        <v>114</v>
      </c>
      <c r="F72" s="2">
        <v>100</v>
      </c>
      <c r="G72" s="2">
        <v>3</v>
      </c>
      <c r="H72" s="3">
        <f t="shared" si="3"/>
        <v>9.1608841778678361E-3</v>
      </c>
      <c r="I72" s="2">
        <v>72</v>
      </c>
      <c r="J72" s="3">
        <f t="shared" si="4"/>
        <v>0.02</v>
      </c>
      <c r="K72" s="3">
        <f t="shared" si="5"/>
        <v>2.1831953784896481</v>
      </c>
    </row>
    <row r="73" spans="3:11" ht="13.2" customHeight="1" x14ac:dyDescent="0.4">
      <c r="C73" s="2"/>
      <c r="D73" s="2"/>
      <c r="E73" s="2"/>
      <c r="F73" s="2"/>
      <c r="G73" s="2"/>
      <c r="I73" s="2"/>
    </row>
    <row r="74" spans="3:11" ht="13.2" customHeight="1" x14ac:dyDescent="0.4">
      <c r="C74" s="2"/>
      <c r="D74" s="2"/>
      <c r="E74" s="2"/>
      <c r="F74" s="2"/>
      <c r="G74" s="2"/>
      <c r="I74" s="2"/>
    </row>
    <row r="75" spans="3:11" ht="13.2" customHeight="1" x14ac:dyDescent="0.4">
      <c r="C75" s="2"/>
      <c r="D75" s="2"/>
      <c r="E75" s="2"/>
      <c r="F75" s="2"/>
      <c r="G75" s="2"/>
      <c r="I75" s="2"/>
    </row>
    <row r="76" spans="3:11" ht="13.2" customHeight="1" x14ac:dyDescent="0.4">
      <c r="C76" s="2"/>
      <c r="D76" s="2"/>
      <c r="E76" s="2"/>
      <c r="F76" s="2"/>
      <c r="G76" s="2"/>
      <c r="I76" s="2"/>
    </row>
    <row r="77" spans="3:11" ht="13.2" customHeight="1" x14ac:dyDescent="0.4">
      <c r="C77" s="2"/>
      <c r="D77" s="2"/>
      <c r="E77" s="2"/>
      <c r="F77" s="2"/>
      <c r="G77" s="2"/>
      <c r="I77" s="2"/>
    </row>
    <row r="78" spans="3:11" ht="13.2" customHeight="1" x14ac:dyDescent="0.4">
      <c r="C78" s="2"/>
      <c r="D78" s="2"/>
      <c r="E78" s="2"/>
      <c r="F78" s="2"/>
      <c r="G78" s="2"/>
      <c r="I78" s="2"/>
    </row>
    <row r="79" spans="3:11" ht="13.2" customHeight="1" x14ac:dyDescent="0.4">
      <c r="C79" s="2"/>
      <c r="D79" s="2"/>
      <c r="E79" s="2"/>
      <c r="F79" s="2"/>
      <c r="G79" s="2"/>
      <c r="I79" s="2"/>
    </row>
    <row r="80" spans="3:11" ht="13.2" customHeight="1" x14ac:dyDescent="0.4">
      <c r="C80" s="2"/>
      <c r="D80" s="2"/>
      <c r="E80" s="2"/>
      <c r="F80" s="2"/>
      <c r="G80" s="2"/>
      <c r="I80" s="2"/>
    </row>
    <row r="81" spans="3:9" ht="13.2" customHeight="1" x14ac:dyDescent="0.4">
      <c r="C81" s="2"/>
      <c r="D81" s="2"/>
      <c r="E81" s="2"/>
      <c r="F81" s="2"/>
      <c r="G81" s="2"/>
      <c r="I81" s="2"/>
    </row>
    <row r="82" spans="3:9" ht="13.2" customHeight="1" x14ac:dyDescent="0.4">
      <c r="C82" s="2"/>
      <c r="D82" s="2"/>
      <c r="E82" s="2"/>
      <c r="F82" s="2"/>
      <c r="G82" s="2"/>
      <c r="I82" s="2"/>
    </row>
    <row r="83" spans="3:9" ht="13.2" customHeight="1" x14ac:dyDescent="0.4">
      <c r="C83" s="2"/>
      <c r="D83" s="2"/>
      <c r="E83" s="2"/>
      <c r="F83" s="2"/>
      <c r="G83" s="2"/>
      <c r="I83" s="2"/>
    </row>
    <row r="84" spans="3:9" ht="13.2" customHeight="1" x14ac:dyDescent="0.4">
      <c r="C84" s="2"/>
      <c r="D84" s="2"/>
      <c r="E84" s="2"/>
      <c r="F84" s="2"/>
      <c r="G84" s="2"/>
      <c r="I84" s="2"/>
    </row>
    <row r="85" spans="3:9" ht="13.2" customHeight="1" x14ac:dyDescent="0.4">
      <c r="C85" s="2"/>
      <c r="D85" s="2"/>
      <c r="E85" s="2"/>
      <c r="F85" s="2"/>
      <c r="G85" s="2"/>
      <c r="I85" s="2"/>
    </row>
    <row r="86" spans="3:9" ht="13.2" customHeight="1" x14ac:dyDescent="0.4">
      <c r="C86" s="2"/>
      <c r="D86" s="2"/>
      <c r="E86" s="2"/>
      <c r="F86" s="2"/>
      <c r="G86" s="2"/>
      <c r="I86" s="2"/>
    </row>
    <row r="87" spans="3:9" ht="13.2" customHeight="1" x14ac:dyDescent="0.4">
      <c r="C87" s="2"/>
      <c r="D87" s="2"/>
      <c r="E87" s="2"/>
      <c r="F87" s="2"/>
      <c r="G87" s="2"/>
      <c r="I87" s="2"/>
    </row>
    <row r="88" spans="3:9" ht="13.2" customHeight="1" x14ac:dyDescent="0.4">
      <c r="C88" s="2"/>
      <c r="D88" s="2"/>
      <c r="E88" s="2"/>
      <c r="F88" s="2"/>
      <c r="G88" s="2"/>
      <c r="I88" s="2"/>
    </row>
    <row r="89" spans="3:9" ht="13.2" customHeight="1" x14ac:dyDescent="0.4">
      <c r="C89" s="2"/>
      <c r="D89" s="2"/>
      <c r="E89" s="2"/>
      <c r="F89" s="2"/>
      <c r="G89" s="2"/>
      <c r="I89" s="2"/>
    </row>
    <row r="90" spans="3:9" ht="13.2" customHeight="1" x14ac:dyDescent="0.4">
      <c r="C90" s="2"/>
      <c r="D90" s="2"/>
      <c r="E90" s="2"/>
      <c r="F90" s="2"/>
      <c r="G90" s="2"/>
      <c r="I90" s="2"/>
    </row>
    <row r="91" spans="3:9" ht="13.2" customHeight="1" x14ac:dyDescent="0.4">
      <c r="C91" s="2"/>
      <c r="D91" s="2"/>
      <c r="E91" s="2"/>
      <c r="F91" s="2"/>
      <c r="G91" s="2"/>
      <c r="I91" s="2"/>
    </row>
    <row r="92" spans="3:9" ht="13.2" customHeight="1" x14ac:dyDescent="0.4">
      <c r="C92" s="2"/>
      <c r="D92" s="2"/>
      <c r="E92" s="2"/>
      <c r="F92" s="2"/>
      <c r="G92" s="2"/>
      <c r="I92" s="2"/>
    </row>
    <row r="93" spans="3:9" ht="13.2" customHeight="1" x14ac:dyDescent="0.4">
      <c r="C93" s="2"/>
      <c r="D93" s="2"/>
      <c r="E93" s="2"/>
      <c r="F93" s="2"/>
      <c r="G93" s="2"/>
      <c r="I93" s="2"/>
    </row>
    <row r="94" spans="3:9" ht="13.2" customHeight="1" x14ac:dyDescent="0.4">
      <c r="C94" s="2"/>
      <c r="D94" s="2"/>
      <c r="E94" s="2"/>
      <c r="F94" s="2"/>
      <c r="G94" s="2"/>
      <c r="I94" s="2"/>
    </row>
    <row r="95" spans="3:9" ht="13.2" customHeight="1" x14ac:dyDescent="0.4">
      <c r="C95" s="2"/>
      <c r="D95" s="2"/>
      <c r="E95" s="2"/>
      <c r="F95" s="2"/>
      <c r="G95" s="2"/>
      <c r="I95" s="2"/>
    </row>
    <row r="96" spans="3:9" ht="13.2" customHeight="1" x14ac:dyDescent="0.4">
      <c r="C96" s="2"/>
      <c r="D96" s="2"/>
      <c r="E96" s="2"/>
      <c r="F96" s="2"/>
      <c r="G96" s="2"/>
      <c r="I96" s="2"/>
    </row>
    <row r="97" spans="3:9" ht="13.2" customHeight="1" x14ac:dyDescent="0.4">
      <c r="C97" s="2"/>
      <c r="D97" s="2"/>
      <c r="E97" s="2"/>
      <c r="F97" s="2"/>
      <c r="G97" s="2"/>
      <c r="I97" s="2"/>
    </row>
    <row r="98" spans="3:9" ht="13.2" customHeight="1" x14ac:dyDescent="0.4">
      <c r="C98" s="2"/>
      <c r="D98" s="2"/>
      <c r="E98" s="2"/>
      <c r="F98" s="2"/>
      <c r="G98" s="2"/>
      <c r="I98" s="2"/>
    </row>
    <row r="99" spans="3:9" ht="13.2" customHeight="1" x14ac:dyDescent="0.4">
      <c r="C99" s="2"/>
      <c r="D99" s="2"/>
      <c r="E99" s="2"/>
      <c r="F99" s="2"/>
      <c r="G99" s="2"/>
      <c r="I99" s="2"/>
    </row>
    <row r="100" spans="3:9" ht="13.2" customHeight="1" x14ac:dyDescent="0.4">
      <c r="C100" s="2"/>
      <c r="D100" s="2"/>
      <c r="E100" s="2"/>
      <c r="F100" s="2"/>
      <c r="G100" s="2"/>
      <c r="I100" s="2"/>
    </row>
    <row r="101" spans="3:9" ht="13.2" customHeight="1" x14ac:dyDescent="0.4">
      <c r="C101" s="2"/>
      <c r="D101" s="2"/>
      <c r="E101" s="2"/>
      <c r="F101" s="2"/>
      <c r="G101" s="2"/>
      <c r="I101" s="2"/>
    </row>
    <row r="102" spans="3:9" ht="13.2" customHeight="1" x14ac:dyDescent="0.4">
      <c r="C102" s="2"/>
      <c r="D102" s="2"/>
      <c r="E102" s="2"/>
      <c r="F102" s="2"/>
      <c r="G102" s="2"/>
      <c r="I102" s="2"/>
    </row>
    <row r="103" spans="3:9" ht="13.2" customHeight="1" x14ac:dyDescent="0.4">
      <c r="C103" s="2"/>
      <c r="D103" s="2"/>
      <c r="E103" s="2"/>
      <c r="F103" s="2"/>
      <c r="G103" s="2"/>
      <c r="I103" s="2"/>
    </row>
    <row r="104" spans="3:9" ht="13.2" customHeight="1" x14ac:dyDescent="0.4">
      <c r="C104" s="2"/>
      <c r="D104" s="2"/>
      <c r="E104" s="2"/>
      <c r="F104" s="2"/>
      <c r="G104" s="2"/>
      <c r="I104" s="2"/>
    </row>
    <row r="105" spans="3:9" ht="13.2" customHeight="1" x14ac:dyDescent="0.4">
      <c r="C105" s="2"/>
      <c r="D105" s="2"/>
      <c r="E105" s="2"/>
      <c r="F105" s="2"/>
      <c r="G105" s="2"/>
      <c r="I105" s="2"/>
    </row>
    <row r="106" spans="3:9" ht="13.2" customHeight="1" x14ac:dyDescent="0.4">
      <c r="C106" s="2"/>
      <c r="D106" s="2"/>
      <c r="E106" s="2"/>
      <c r="F106" s="2"/>
      <c r="G106" s="2"/>
      <c r="I106" s="2"/>
    </row>
    <row r="107" spans="3:9" ht="13.2" customHeight="1" x14ac:dyDescent="0.4">
      <c r="C107" s="2"/>
      <c r="D107" s="2"/>
      <c r="E107" s="2"/>
      <c r="F107" s="2"/>
      <c r="G107" s="2"/>
      <c r="I107" s="2"/>
    </row>
    <row r="108" spans="3:9" ht="13.2" customHeight="1" x14ac:dyDescent="0.4">
      <c r="C108" s="2"/>
      <c r="D108" s="2"/>
      <c r="E108" s="2"/>
      <c r="F108" s="2"/>
      <c r="G108" s="2"/>
      <c r="I108" s="2"/>
    </row>
    <row r="109" spans="3:9" ht="13.2" customHeight="1" x14ac:dyDescent="0.4">
      <c r="C109" s="2"/>
      <c r="D109" s="2"/>
      <c r="E109" s="2"/>
      <c r="F109" s="2"/>
      <c r="G109" s="2"/>
      <c r="I109" s="2"/>
    </row>
    <row r="110" spans="3:9" ht="13.2" customHeight="1" x14ac:dyDescent="0.4">
      <c r="C110" s="2"/>
      <c r="D110" s="2"/>
      <c r="E110" s="2"/>
      <c r="F110" s="2"/>
      <c r="G110" s="2"/>
      <c r="I110" s="2"/>
    </row>
    <row r="111" spans="3:9" ht="13.2" customHeight="1" x14ac:dyDescent="0.4">
      <c r="C111" s="2"/>
      <c r="D111" s="2"/>
      <c r="E111" s="2"/>
      <c r="F111" s="2"/>
      <c r="G111" s="2"/>
      <c r="I111" s="2"/>
    </row>
    <row r="112" spans="3:9" ht="13.2" customHeight="1" x14ac:dyDescent="0.4">
      <c r="C112" s="2"/>
      <c r="D112" s="2"/>
      <c r="E112" s="2"/>
      <c r="F112" s="2"/>
      <c r="G112" s="2"/>
      <c r="I112" s="2"/>
    </row>
    <row r="113" spans="3:9" ht="13.2" customHeight="1" x14ac:dyDescent="0.4">
      <c r="C113" s="2"/>
      <c r="D113" s="2"/>
      <c r="E113" s="2"/>
      <c r="F113" s="2"/>
      <c r="G113" s="2"/>
      <c r="I113" s="2"/>
    </row>
    <row r="114" spans="3:9" ht="13.2" customHeight="1" x14ac:dyDescent="0.4">
      <c r="C114" s="2"/>
      <c r="D114" s="2"/>
      <c r="E114" s="2"/>
      <c r="F114" s="2"/>
      <c r="G114" s="2"/>
      <c r="I114" s="2"/>
    </row>
    <row r="115" spans="3:9" ht="13.2" customHeight="1" x14ac:dyDescent="0.4">
      <c r="C115" s="2"/>
      <c r="D115" s="2"/>
      <c r="E115" s="2"/>
      <c r="F115" s="2"/>
      <c r="G115" s="2"/>
      <c r="I115" s="2"/>
    </row>
    <row r="116" spans="3:9" ht="13.2" customHeight="1" x14ac:dyDescent="0.4">
      <c r="C116" s="2"/>
      <c r="D116" s="2"/>
      <c r="E116" s="2"/>
      <c r="F116" s="2"/>
      <c r="G116" s="2"/>
      <c r="I116" s="2"/>
    </row>
    <row r="117" spans="3:9" ht="13.2" customHeight="1" x14ac:dyDescent="0.4">
      <c r="C117" s="2"/>
      <c r="D117" s="2"/>
      <c r="E117" s="2"/>
      <c r="F117" s="2"/>
      <c r="G117" s="2"/>
      <c r="I117" s="2"/>
    </row>
    <row r="118" spans="3:9" ht="13.2" customHeight="1" x14ac:dyDescent="0.4">
      <c r="C118" s="2"/>
      <c r="D118" s="2"/>
      <c r="E118" s="2"/>
      <c r="F118" s="2"/>
      <c r="G118" s="2"/>
      <c r="I118" s="2"/>
    </row>
    <row r="119" spans="3:9" ht="13.2" customHeight="1" x14ac:dyDescent="0.4">
      <c r="C119" s="2"/>
      <c r="D119" s="2"/>
      <c r="E119" s="2"/>
      <c r="F119" s="2"/>
      <c r="G119" s="2"/>
      <c r="I119" s="2"/>
    </row>
    <row r="120" spans="3:9" ht="13.2" customHeight="1" x14ac:dyDescent="0.4">
      <c r="C120" s="2"/>
      <c r="D120" s="2"/>
      <c r="E120" s="2"/>
      <c r="F120" s="2"/>
      <c r="G120" s="2"/>
      <c r="I120" s="2"/>
    </row>
    <row r="121" spans="3:9" ht="13.2" customHeight="1" x14ac:dyDescent="0.4">
      <c r="C121" s="2"/>
      <c r="D121" s="2"/>
      <c r="E121" s="2"/>
      <c r="F121" s="2"/>
      <c r="G121" s="2"/>
      <c r="I121" s="2"/>
    </row>
    <row r="122" spans="3:9" ht="13.2" customHeight="1" x14ac:dyDescent="0.4">
      <c r="C122" s="2"/>
      <c r="D122" s="2"/>
      <c r="E122" s="2"/>
      <c r="F122" s="2"/>
      <c r="G122" s="2"/>
      <c r="I122" s="2"/>
    </row>
    <row r="123" spans="3:9" ht="13.2" customHeight="1" x14ac:dyDescent="0.4">
      <c r="C123" s="2"/>
      <c r="D123" s="2"/>
      <c r="E123" s="2"/>
      <c r="F123" s="2"/>
      <c r="G123" s="2"/>
      <c r="I123" s="2"/>
    </row>
    <row r="124" spans="3:9" ht="13.2" customHeight="1" x14ac:dyDescent="0.4">
      <c r="C124" s="2"/>
      <c r="D124" s="2"/>
      <c r="E124" s="2"/>
      <c r="F124" s="2"/>
      <c r="G124" s="2"/>
      <c r="I124" s="2"/>
    </row>
    <row r="125" spans="3:9" ht="13.2" customHeight="1" x14ac:dyDescent="0.4">
      <c r="C125" s="2"/>
      <c r="D125" s="2"/>
      <c r="E125" s="2"/>
      <c r="F125" s="2"/>
      <c r="G125" s="2"/>
      <c r="I125" s="2"/>
    </row>
    <row r="126" spans="3:9" ht="13.2" customHeight="1" x14ac:dyDescent="0.4">
      <c r="C126" s="2"/>
      <c r="D126" s="2"/>
      <c r="E126" s="2"/>
      <c r="F126" s="2"/>
      <c r="G126" s="2"/>
      <c r="I126" s="2"/>
    </row>
    <row r="127" spans="3:9" ht="13.2" customHeight="1" x14ac:dyDescent="0.4">
      <c r="C127" s="2"/>
      <c r="D127" s="2"/>
      <c r="E127" s="2"/>
      <c r="F127" s="2"/>
      <c r="G127" s="2"/>
      <c r="I127" s="2"/>
    </row>
    <row r="128" spans="3:9" ht="13.2" customHeight="1" x14ac:dyDescent="0.4">
      <c r="C128" s="2"/>
      <c r="D128" s="2"/>
      <c r="E128" s="2"/>
      <c r="F128" s="2"/>
      <c r="G128" s="2"/>
      <c r="I128" s="2"/>
    </row>
    <row r="129" spans="3:9" ht="13.2" customHeight="1" x14ac:dyDescent="0.4">
      <c r="C129" s="2"/>
      <c r="D129" s="2"/>
      <c r="E129" s="2"/>
      <c r="F129" s="2"/>
      <c r="G129" s="2"/>
      <c r="I129" s="2"/>
    </row>
    <row r="130" spans="3:9" ht="13.2" customHeight="1" x14ac:dyDescent="0.4">
      <c r="C130" s="2"/>
      <c r="D130" s="2"/>
      <c r="E130" s="2"/>
      <c r="F130" s="2"/>
      <c r="G130" s="2"/>
      <c r="I130" s="2"/>
    </row>
    <row r="131" spans="3:9" ht="13.2" customHeight="1" x14ac:dyDescent="0.4">
      <c r="C131" s="2"/>
      <c r="D131" s="2"/>
      <c r="E131" s="2"/>
      <c r="F131" s="2"/>
      <c r="G131" s="2"/>
      <c r="I131" s="2"/>
    </row>
    <row r="132" spans="3:9" ht="13.2" customHeight="1" x14ac:dyDescent="0.4">
      <c r="C132" s="2"/>
      <c r="D132" s="2"/>
      <c r="E132" s="2"/>
      <c r="F132" s="2"/>
      <c r="G132" s="2"/>
      <c r="I132" s="2"/>
    </row>
    <row r="133" spans="3:9" ht="13.2" customHeight="1" x14ac:dyDescent="0.4">
      <c r="C133" s="2"/>
      <c r="D133" s="2"/>
      <c r="E133" s="2"/>
      <c r="F133" s="2"/>
      <c r="G133" s="2"/>
      <c r="I133" s="2"/>
    </row>
    <row r="134" spans="3:9" ht="13.2" customHeight="1" x14ac:dyDescent="0.4">
      <c r="C134" s="2"/>
      <c r="D134" s="2"/>
      <c r="E134" s="2"/>
      <c r="F134" s="2"/>
      <c r="G134" s="2"/>
      <c r="I134" s="2"/>
    </row>
    <row r="135" spans="3:9" ht="13.2" customHeight="1" x14ac:dyDescent="0.4">
      <c r="C135" s="2"/>
      <c r="D135" s="2"/>
      <c r="E135" s="2"/>
      <c r="F135" s="2"/>
      <c r="G135" s="2"/>
      <c r="I135" s="2"/>
    </row>
    <row r="136" spans="3:9" ht="13.2" customHeight="1" x14ac:dyDescent="0.4">
      <c r="C136" s="2"/>
      <c r="D136" s="2"/>
      <c r="E136" s="2"/>
      <c r="F136" s="2"/>
      <c r="G136" s="2"/>
      <c r="I136" s="2"/>
    </row>
    <row r="137" spans="3:9" ht="13.2" customHeight="1" x14ac:dyDescent="0.4">
      <c r="C137" s="2"/>
      <c r="D137" s="2"/>
      <c r="E137" s="2"/>
      <c r="F137" s="2"/>
      <c r="G137" s="2"/>
      <c r="I137" s="2"/>
    </row>
    <row r="138" spans="3:9" ht="13.2" customHeight="1" x14ac:dyDescent="0.4">
      <c r="C138" s="2"/>
      <c r="D138" s="2"/>
      <c r="E138" s="2"/>
      <c r="F138" s="2"/>
      <c r="G138" s="2"/>
      <c r="I138" s="2"/>
    </row>
    <row r="139" spans="3:9" ht="13.2" customHeight="1" x14ac:dyDescent="0.4">
      <c r="C139" s="2"/>
      <c r="D139" s="2"/>
      <c r="E139" s="2"/>
      <c r="F139" s="2"/>
      <c r="G139" s="2"/>
      <c r="I139" s="2"/>
    </row>
    <row r="140" spans="3:9" ht="13.2" customHeight="1" x14ac:dyDescent="0.4">
      <c r="C140" s="2"/>
      <c r="D140" s="2"/>
      <c r="E140" s="2"/>
      <c r="F140" s="2"/>
      <c r="G140" s="2"/>
      <c r="I140" s="2"/>
    </row>
    <row r="141" spans="3:9" ht="13.2" customHeight="1" x14ac:dyDescent="0.4">
      <c r="C141" s="2"/>
      <c r="D141" s="2"/>
      <c r="E141" s="2"/>
      <c r="F141" s="2"/>
      <c r="G141" s="2"/>
      <c r="I141" s="2"/>
    </row>
    <row r="142" spans="3:9" ht="13.2" customHeight="1" x14ac:dyDescent="0.4">
      <c r="C142" s="2"/>
      <c r="D142" s="2"/>
      <c r="E142" s="2"/>
      <c r="F142" s="2"/>
      <c r="G142" s="2"/>
      <c r="I142" s="2"/>
    </row>
    <row r="143" spans="3:9" ht="13.2" customHeight="1" x14ac:dyDescent="0.4">
      <c r="C143" s="2"/>
      <c r="D143" s="2"/>
      <c r="E143" s="2"/>
      <c r="F143" s="2"/>
      <c r="G143" s="2"/>
      <c r="I143" s="2"/>
    </row>
    <row r="144" spans="3:9" ht="13.2" customHeight="1" x14ac:dyDescent="0.4">
      <c r="C144" s="2"/>
      <c r="D144" s="2"/>
      <c r="E144" s="2"/>
      <c r="F144" s="2"/>
      <c r="G144" s="2"/>
      <c r="I144" s="2"/>
    </row>
    <row r="145" spans="3:9" ht="13.2" customHeight="1" x14ac:dyDescent="0.4">
      <c r="C145" s="2"/>
      <c r="D145" s="2"/>
      <c r="E145" s="2"/>
      <c r="F145" s="2"/>
      <c r="G145" s="2"/>
      <c r="I145" s="2"/>
    </row>
    <row r="146" spans="3:9" ht="13.2" customHeight="1" x14ac:dyDescent="0.4">
      <c r="C146" s="2"/>
      <c r="D146" s="2"/>
      <c r="E146" s="2"/>
      <c r="F146" s="2"/>
      <c r="G146" s="2"/>
      <c r="I146" s="2"/>
    </row>
    <row r="147" spans="3:9" ht="13.2" customHeight="1" x14ac:dyDescent="0.4">
      <c r="C147" s="2"/>
      <c r="D147" s="2"/>
      <c r="E147" s="2"/>
      <c r="F147" s="2"/>
      <c r="G147" s="2"/>
      <c r="I147" s="2"/>
    </row>
    <row r="148" spans="3:9" ht="13.2" customHeight="1" x14ac:dyDescent="0.4">
      <c r="C148" s="2"/>
      <c r="D148" s="2"/>
      <c r="E148" s="2"/>
      <c r="F148" s="2"/>
      <c r="G148" s="2"/>
      <c r="I148" s="2"/>
    </row>
    <row r="149" spans="3:9" ht="13.2" customHeight="1" x14ac:dyDescent="0.4">
      <c r="C149" s="2"/>
      <c r="D149" s="2"/>
      <c r="E149" s="2"/>
      <c r="F149" s="2"/>
      <c r="G149" s="2"/>
      <c r="I149" s="2"/>
    </row>
    <row r="150" spans="3:9" ht="13.2" customHeight="1" x14ac:dyDescent="0.4">
      <c r="C150" s="2"/>
      <c r="D150" s="2"/>
      <c r="E150" s="2"/>
      <c r="F150" s="2"/>
      <c r="G150" s="2"/>
      <c r="I150" s="2"/>
    </row>
    <row r="151" spans="3:9" ht="13.2" customHeight="1" x14ac:dyDescent="0.4">
      <c r="C151" s="2"/>
      <c r="D151" s="2"/>
      <c r="E151" s="2"/>
      <c r="F151" s="2"/>
      <c r="G151" s="2"/>
      <c r="I151" s="2"/>
    </row>
    <row r="152" spans="3:9" ht="13.2" customHeight="1" x14ac:dyDescent="0.4">
      <c r="C152" s="2"/>
      <c r="D152" s="2"/>
      <c r="E152" s="2"/>
      <c r="F152" s="2"/>
      <c r="G152" s="2"/>
      <c r="I152" s="2"/>
    </row>
    <row r="153" spans="3:9" ht="13.2" customHeight="1" x14ac:dyDescent="0.4">
      <c r="C153" s="2"/>
      <c r="D153" s="2"/>
      <c r="E153" s="2"/>
      <c r="F153" s="2"/>
      <c r="G153" s="2"/>
      <c r="I153" s="2"/>
    </row>
    <row r="154" spans="3:9" ht="13.2" customHeight="1" x14ac:dyDescent="0.4">
      <c r="C154" s="2"/>
      <c r="D154" s="2"/>
      <c r="E154" s="2"/>
      <c r="F154" s="2"/>
      <c r="G154" s="2"/>
      <c r="I154" s="2"/>
    </row>
    <row r="155" spans="3:9" ht="13.2" customHeight="1" x14ac:dyDescent="0.4">
      <c r="C155" s="2"/>
      <c r="D155" s="2"/>
      <c r="E155" s="2"/>
      <c r="F155" s="2"/>
      <c r="G155" s="2"/>
      <c r="I155" s="2"/>
    </row>
    <row r="156" spans="3:9" ht="13.2" customHeight="1" x14ac:dyDescent="0.4">
      <c r="C156" s="2"/>
      <c r="D156" s="2"/>
      <c r="E156" s="2"/>
      <c r="F156" s="2"/>
      <c r="G156" s="2"/>
      <c r="I156" s="2"/>
    </row>
    <row r="157" spans="3:9" ht="13.2" customHeight="1" x14ac:dyDescent="0.4">
      <c r="C157" s="2"/>
      <c r="D157" s="2"/>
      <c r="E157" s="2"/>
      <c r="F157" s="2"/>
      <c r="G157" s="2"/>
      <c r="I157" s="2"/>
    </row>
    <row r="158" spans="3:9" ht="13.2" customHeight="1" x14ac:dyDescent="0.4">
      <c r="C158" s="2"/>
      <c r="D158" s="2"/>
      <c r="E158" s="2"/>
      <c r="F158" s="2"/>
      <c r="G158" s="2"/>
      <c r="I158" s="2"/>
    </row>
    <row r="159" spans="3:9" ht="13.2" customHeight="1" x14ac:dyDescent="0.4">
      <c r="C159" s="2"/>
      <c r="D159" s="2"/>
      <c r="E159" s="2"/>
      <c r="F159" s="2"/>
      <c r="G159" s="2"/>
      <c r="I159" s="2"/>
    </row>
    <row r="160" spans="3:9" ht="13.2" customHeight="1" x14ac:dyDescent="0.4">
      <c r="C160" s="2"/>
      <c r="D160" s="2"/>
      <c r="E160" s="2"/>
      <c r="F160" s="2"/>
      <c r="G160" s="2"/>
      <c r="I160" s="2"/>
    </row>
    <row r="161" spans="3:9" ht="13.2" customHeight="1" x14ac:dyDescent="0.4">
      <c r="C161" s="2"/>
      <c r="D161" s="2"/>
      <c r="E161" s="2"/>
      <c r="F161" s="2"/>
      <c r="G161" s="2"/>
      <c r="I161" s="2"/>
    </row>
    <row r="162" spans="3:9" ht="13.2" customHeight="1" x14ac:dyDescent="0.4">
      <c r="C162" s="2"/>
      <c r="D162" s="2"/>
      <c r="E162" s="2"/>
      <c r="F162" s="2"/>
      <c r="G162" s="2"/>
      <c r="I162" s="2"/>
    </row>
    <row r="163" spans="3:9" ht="13.2" customHeight="1" x14ac:dyDescent="0.4">
      <c r="C163" s="2"/>
      <c r="D163" s="2"/>
      <c r="E163" s="2"/>
      <c r="F163" s="2"/>
      <c r="G163" s="2"/>
      <c r="I163" s="2"/>
    </row>
    <row r="164" spans="3:9" ht="13.2" customHeight="1" x14ac:dyDescent="0.4">
      <c r="C164" s="2"/>
      <c r="D164" s="2"/>
      <c r="E164" s="2"/>
      <c r="F164" s="2"/>
      <c r="G164" s="2"/>
      <c r="I164" s="2"/>
    </row>
    <row r="165" spans="3:9" ht="13.2" customHeight="1" x14ac:dyDescent="0.4">
      <c r="C165" s="2"/>
      <c r="D165" s="2"/>
      <c r="E165" s="2"/>
      <c r="F165" s="2"/>
      <c r="G165" s="2"/>
      <c r="I165" s="2"/>
    </row>
    <row r="166" spans="3:9" ht="13.2" customHeight="1" x14ac:dyDescent="0.4">
      <c r="C166" s="2"/>
      <c r="D166" s="2"/>
      <c r="E166" s="2"/>
      <c r="F166" s="2"/>
      <c r="G166" s="2"/>
      <c r="I166" s="2"/>
    </row>
    <row r="167" spans="3:9" ht="13.2" customHeight="1" x14ac:dyDescent="0.4">
      <c r="C167" s="2"/>
      <c r="D167" s="2"/>
      <c r="E167" s="2"/>
      <c r="F167" s="2"/>
      <c r="G167" s="2"/>
      <c r="I167" s="2"/>
    </row>
    <row r="168" spans="3:9" ht="13.2" customHeight="1" x14ac:dyDescent="0.4">
      <c r="C168" s="2"/>
      <c r="D168" s="2"/>
      <c r="E168" s="2"/>
      <c r="F168" s="2"/>
      <c r="G168" s="2"/>
      <c r="I168" s="2"/>
    </row>
    <row r="169" spans="3:9" ht="13.2" customHeight="1" x14ac:dyDescent="0.4">
      <c r="C169" s="2"/>
      <c r="D169" s="2"/>
      <c r="E169" s="2"/>
      <c r="F169" s="2"/>
      <c r="G169" s="2"/>
      <c r="I169" s="2"/>
    </row>
    <row r="170" spans="3:9" ht="13.2" customHeight="1" x14ac:dyDescent="0.4">
      <c r="C170" s="2"/>
      <c r="D170" s="2"/>
      <c r="E170" s="2"/>
      <c r="F170" s="2"/>
      <c r="G170" s="2"/>
      <c r="I170" s="2"/>
    </row>
    <row r="171" spans="3:9" ht="13.2" customHeight="1" x14ac:dyDescent="0.4">
      <c r="C171" s="2"/>
      <c r="D171" s="2"/>
      <c r="E171" s="2"/>
      <c r="F171" s="2"/>
      <c r="G171" s="2"/>
      <c r="I171" s="2"/>
    </row>
    <row r="172" spans="3:9" ht="13.2" customHeight="1" x14ac:dyDescent="0.4">
      <c r="C172" s="2"/>
      <c r="D172" s="2"/>
      <c r="E172" s="2"/>
      <c r="F172" s="2"/>
      <c r="G172" s="2"/>
      <c r="I172" s="2"/>
    </row>
    <row r="173" spans="3:9" ht="13.2" customHeight="1" x14ac:dyDescent="0.4">
      <c r="C173" s="2"/>
      <c r="D173" s="2"/>
      <c r="E173" s="2"/>
      <c r="F173" s="2"/>
      <c r="G173" s="2"/>
      <c r="I173" s="2"/>
    </row>
    <row r="174" spans="3:9" ht="13.2" customHeight="1" x14ac:dyDescent="0.4">
      <c r="C174" s="2"/>
      <c r="D174" s="2"/>
      <c r="E174" s="2"/>
      <c r="F174" s="2"/>
      <c r="G174" s="2"/>
      <c r="I174" s="2"/>
    </row>
    <row r="175" spans="3:9" ht="13.2" customHeight="1" x14ac:dyDescent="0.4">
      <c r="C175" s="2"/>
      <c r="D175" s="2"/>
      <c r="E175" s="2"/>
      <c r="F175" s="2"/>
      <c r="G175" s="2"/>
      <c r="I175" s="2"/>
    </row>
    <row r="176" spans="3:9" ht="13.2" customHeight="1" x14ac:dyDescent="0.4">
      <c r="C176" s="2"/>
      <c r="D176" s="2"/>
      <c r="E176" s="2"/>
      <c r="F176" s="2"/>
      <c r="G176" s="2"/>
      <c r="I176" s="2"/>
    </row>
    <row r="177" spans="3:9" ht="13.2" customHeight="1" x14ac:dyDescent="0.4">
      <c r="C177" s="2"/>
      <c r="D177" s="2"/>
      <c r="E177" s="2"/>
      <c r="F177" s="2"/>
      <c r="G177" s="2"/>
      <c r="I177" s="2"/>
    </row>
    <row r="178" spans="3:9" ht="13.2" customHeight="1" x14ac:dyDescent="0.4">
      <c r="C178" s="2"/>
      <c r="D178" s="2"/>
      <c r="E178" s="2"/>
      <c r="F178" s="2"/>
      <c r="G178" s="2"/>
      <c r="I178" s="2"/>
    </row>
    <row r="179" spans="3:9" ht="13.2" customHeight="1" x14ac:dyDescent="0.4">
      <c r="C179" s="2"/>
      <c r="D179" s="2"/>
      <c r="E179" s="2"/>
      <c r="F179" s="2"/>
      <c r="G179" s="2"/>
      <c r="I179" s="2"/>
    </row>
    <row r="180" spans="3:9" ht="13.2" customHeight="1" x14ac:dyDescent="0.4">
      <c r="C180" s="2"/>
      <c r="D180" s="2"/>
      <c r="E180" s="2"/>
      <c r="F180" s="2"/>
      <c r="G180" s="2"/>
      <c r="I180" s="2"/>
    </row>
    <row r="181" spans="3:9" ht="13.2" customHeight="1" x14ac:dyDescent="0.4">
      <c r="C181" s="2"/>
      <c r="D181" s="2"/>
      <c r="E181" s="2"/>
      <c r="F181" s="2"/>
      <c r="G181" s="2"/>
      <c r="I181" s="2"/>
    </row>
    <row r="182" spans="3:9" ht="13.2" customHeight="1" x14ac:dyDescent="0.4">
      <c r="C182" s="2"/>
      <c r="D182" s="2"/>
      <c r="E182" s="2"/>
      <c r="F182" s="2"/>
      <c r="G182" s="2"/>
      <c r="I182" s="2"/>
    </row>
    <row r="183" spans="3:9" ht="13.2" customHeight="1" x14ac:dyDescent="0.4">
      <c r="C183" s="2"/>
      <c r="D183" s="2"/>
      <c r="E183" s="2"/>
      <c r="F183" s="2"/>
      <c r="G183" s="2"/>
      <c r="I183" s="2"/>
    </row>
    <row r="184" spans="3:9" ht="13.2" customHeight="1" x14ac:dyDescent="0.4">
      <c r="C184" s="2"/>
      <c r="D184" s="2"/>
      <c r="E184" s="2"/>
      <c r="I184" s="2"/>
    </row>
    <row r="185" spans="3:9" ht="13.2" customHeight="1" x14ac:dyDescent="0.4">
      <c r="C185" s="2"/>
      <c r="D185" s="2"/>
      <c r="E185" s="2"/>
      <c r="I185" s="2"/>
    </row>
    <row r="186" spans="3:9" ht="13.2" customHeight="1" x14ac:dyDescent="0.4">
      <c r="C186" s="2"/>
      <c r="D186" s="2"/>
      <c r="E186" s="2"/>
      <c r="I186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2026-04-10T11:59:16Z</dcterms:modified>
  <dc:language>en-GB</dc:language>
</cp:coreProperties>
</file>
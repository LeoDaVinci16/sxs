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auCoronado\Documents_local\euromed\supersonic-at\data\docs\"/>
    </mc:Choice>
  </mc:AlternateContent>
  <xr:revisionPtr revIDLastSave="0" documentId="13_ncr:1_{3C2443D3-2D45-4033-83F8-E16A75BA9AAB}" xr6:coauthVersionLast="47" xr6:coauthVersionMax="47" xr10:uidLastSave="{00000000-0000-0000-0000-000000000000}"/>
  <bookViews>
    <workbookView xWindow="-108" yWindow="-108" windowWidth="23256" windowHeight="13896" xr2:uid="{4CA701B3-5EB8-45D8-B6BB-1F057196BE44}"/>
  </bookViews>
  <sheets>
    <sheet name="Sheet1" sheetId="1" r:id="rId1"/>
  </sheets>
  <definedNames>
    <definedName name="_xlnm._FilterDatabase" localSheetId="0" hidden="1">Sheet1!$A$1:$S$1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S2" i="1" s="1"/>
  <c r="T2" i="1" s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T17" i="1" s="1"/>
  <c r="S18" i="1"/>
  <c r="T18" i="1" s="1"/>
  <c r="S19" i="1"/>
  <c r="T19" i="1" s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I9" i="1"/>
  <c r="H9" i="1"/>
  <c r="I6" i="1"/>
  <c r="L24" i="1"/>
  <c r="L25" i="1"/>
  <c r="L21" i="1"/>
  <c r="L20" i="1"/>
  <c r="H12" i="1"/>
  <c r="H8" i="1"/>
  <c r="H35" i="1"/>
  <c r="H11" i="1"/>
  <c r="I50" i="1"/>
  <c r="I51" i="1"/>
  <c r="I52" i="1"/>
  <c r="I48" i="1"/>
  <c r="I49" i="1"/>
  <c r="I53" i="1"/>
  <c r="I55" i="1"/>
  <c r="I10" i="1"/>
  <c r="I14" i="1"/>
  <c r="I15" i="1"/>
  <c r="I13" i="1"/>
  <c r="I12" i="1"/>
  <c r="I11" i="1"/>
  <c r="I16" i="1"/>
  <c r="I17" i="1"/>
  <c r="I18" i="1"/>
  <c r="I19" i="1"/>
  <c r="I22" i="1"/>
  <c r="I23" i="1"/>
  <c r="I27" i="1"/>
  <c r="I28" i="1"/>
  <c r="I26" i="1"/>
  <c r="I20" i="1"/>
  <c r="I24" i="1"/>
  <c r="I25" i="1"/>
  <c r="I21" i="1"/>
  <c r="I34" i="1"/>
  <c r="I36" i="1"/>
  <c r="I37" i="1"/>
  <c r="I35" i="1"/>
  <c r="I39" i="1"/>
  <c r="I38" i="1"/>
  <c r="I64" i="1"/>
  <c r="I63" i="1"/>
  <c r="I65" i="1"/>
  <c r="I66" i="1"/>
  <c r="I68" i="1"/>
  <c r="I67" i="1"/>
  <c r="I69" i="1"/>
  <c r="I56" i="1"/>
  <c r="I57" i="1"/>
  <c r="I58" i="1"/>
  <c r="I59" i="1"/>
  <c r="I61" i="1"/>
  <c r="I60" i="1"/>
  <c r="I62" i="1"/>
  <c r="I40" i="1"/>
  <c r="I43" i="1"/>
  <c r="I41" i="1"/>
  <c r="I42" i="1"/>
  <c r="I44" i="1"/>
  <c r="I45" i="1"/>
  <c r="I47" i="1"/>
  <c r="I46" i="1"/>
  <c r="I70" i="1"/>
  <c r="I71" i="1"/>
  <c r="I29" i="1"/>
  <c r="I32" i="1"/>
  <c r="I33" i="1"/>
  <c r="I30" i="1"/>
  <c r="I31" i="1"/>
  <c r="I8" i="1"/>
  <c r="I2" i="1"/>
  <c r="I4" i="1"/>
  <c r="I3" i="1"/>
  <c r="I5" i="1"/>
  <c r="I7" i="1"/>
  <c r="I54" i="1"/>
  <c r="H50" i="1"/>
  <c r="H51" i="1"/>
  <c r="H52" i="1"/>
  <c r="H48" i="1"/>
  <c r="H49" i="1"/>
  <c r="H53" i="1"/>
  <c r="H55" i="1"/>
  <c r="H10" i="1"/>
  <c r="H14" i="1"/>
  <c r="H15" i="1"/>
  <c r="H13" i="1"/>
  <c r="H16" i="1"/>
  <c r="H17" i="1"/>
  <c r="H18" i="1"/>
  <c r="H19" i="1"/>
  <c r="H22" i="1"/>
  <c r="H23" i="1"/>
  <c r="H27" i="1"/>
  <c r="H28" i="1"/>
  <c r="H26" i="1"/>
  <c r="H20" i="1"/>
  <c r="H24" i="1"/>
  <c r="H25" i="1"/>
  <c r="H21" i="1"/>
  <c r="H34" i="1"/>
  <c r="H36" i="1"/>
  <c r="H37" i="1"/>
  <c r="H39" i="1"/>
  <c r="H38" i="1"/>
  <c r="H64" i="1"/>
  <c r="H63" i="1"/>
  <c r="H65" i="1"/>
  <c r="H66" i="1"/>
  <c r="H68" i="1"/>
  <c r="H67" i="1"/>
  <c r="H69" i="1"/>
  <c r="H56" i="1"/>
  <c r="H57" i="1"/>
  <c r="H58" i="1"/>
  <c r="H59" i="1"/>
  <c r="H61" i="1"/>
  <c r="H60" i="1"/>
  <c r="H62" i="1"/>
  <c r="H40" i="1"/>
  <c r="H43" i="1"/>
  <c r="H41" i="1"/>
  <c r="H42" i="1"/>
  <c r="H44" i="1"/>
  <c r="H45" i="1"/>
  <c r="H47" i="1"/>
  <c r="H46" i="1"/>
  <c r="H70" i="1"/>
  <c r="H71" i="1"/>
  <c r="H29" i="1"/>
  <c r="H32" i="1"/>
  <c r="H33" i="1"/>
  <c r="H30" i="1"/>
  <c r="H31" i="1"/>
  <c r="H6" i="1"/>
  <c r="H2" i="1"/>
  <c r="H4" i="1"/>
  <c r="H3" i="1"/>
  <c r="H5" i="1"/>
  <c r="H7" i="1"/>
  <c r="H54" i="1"/>
  <c r="P46" i="1"/>
  <c r="P29" i="1"/>
  <c r="P32" i="1"/>
  <c r="P33" i="1"/>
  <c r="P30" i="1"/>
  <c r="P31" i="1"/>
  <c r="P69" i="1"/>
  <c r="P64" i="1"/>
  <c r="P63" i="1"/>
  <c r="P65" i="1"/>
  <c r="P66" i="1"/>
  <c r="P68" i="1"/>
  <c r="P67" i="1"/>
  <c r="P70" i="1"/>
  <c r="P71" i="1"/>
  <c r="P38" i="1"/>
  <c r="P39" i="1"/>
  <c r="P35" i="1"/>
  <c r="P37" i="1"/>
  <c r="P36" i="1"/>
  <c r="P34" i="1"/>
  <c r="P16" i="1"/>
  <c r="P21" i="1"/>
  <c r="P25" i="1"/>
  <c r="P24" i="1"/>
  <c r="P20" i="1"/>
  <c r="P28" i="1"/>
  <c r="P27" i="1"/>
  <c r="P23" i="1"/>
  <c r="P22" i="1"/>
  <c r="P26" i="1"/>
  <c r="P19" i="1"/>
  <c r="P14" i="1"/>
  <c r="P15" i="1"/>
  <c r="P13" i="1"/>
  <c r="P12" i="1"/>
  <c r="P11" i="1"/>
  <c r="P17" i="1"/>
  <c r="P18" i="1"/>
  <c r="P10" i="1"/>
  <c r="P9" i="1"/>
  <c r="P47" i="1"/>
  <c r="P45" i="1"/>
  <c r="P44" i="1"/>
  <c r="P42" i="1"/>
  <c r="P41" i="1"/>
  <c r="P43" i="1"/>
  <c r="P40" i="1"/>
  <c r="P62" i="1"/>
  <c r="P60" i="1"/>
  <c r="P61" i="1"/>
  <c r="P59" i="1"/>
  <c r="P58" i="1"/>
  <c r="P57" i="1"/>
  <c r="P56" i="1"/>
  <c r="P3" i="1"/>
  <c r="P4" i="1"/>
  <c r="P5" i="1"/>
  <c r="P6" i="1"/>
  <c r="P7" i="1"/>
  <c r="P8" i="1"/>
  <c r="P54" i="1"/>
  <c r="P50" i="1"/>
  <c r="P51" i="1"/>
  <c r="P52" i="1"/>
  <c r="P48" i="1"/>
  <c r="P49" i="1"/>
  <c r="P53" i="1"/>
  <c r="P55" i="1"/>
</calcChain>
</file>

<file path=xl/sharedStrings.xml><?xml version="1.0" encoding="utf-8"?>
<sst xmlns="http://schemas.openxmlformats.org/spreadsheetml/2006/main" count="358" uniqueCount="126">
  <si>
    <t>id</t>
  </si>
  <si>
    <t>source</t>
  </si>
  <si>
    <t>target</t>
  </si>
  <si>
    <t>area</t>
  </si>
  <si>
    <t>E-100</t>
  </si>
  <si>
    <t>EI-100</t>
  </si>
  <si>
    <t>EI-101</t>
  </si>
  <si>
    <t>EI-102</t>
  </si>
  <si>
    <t>E-150</t>
  </si>
  <si>
    <t>ED-150</t>
  </si>
  <si>
    <t>EI-150</t>
  </si>
  <si>
    <t>id_vell</t>
  </si>
  <si>
    <t>AT-1</t>
  </si>
  <si>
    <t>AT-2</t>
  </si>
  <si>
    <t>AT-3</t>
  </si>
  <si>
    <t>AT-4</t>
  </si>
  <si>
    <t>AT-5</t>
  </si>
  <si>
    <t>AT-6</t>
  </si>
  <si>
    <t>AT-7</t>
  </si>
  <si>
    <t>BV-105</t>
  </si>
  <si>
    <t>BV-107</t>
  </si>
  <si>
    <t>BV-106</t>
  </si>
  <si>
    <t>BV-108</t>
  </si>
  <si>
    <t>BV-104</t>
  </si>
  <si>
    <t>BV-109</t>
  </si>
  <si>
    <t>colector</t>
  </si>
  <si>
    <t>DN</t>
  </si>
  <si>
    <t>PEC</t>
  </si>
  <si>
    <t>EI101</t>
  </si>
  <si>
    <t>EI102</t>
  </si>
  <si>
    <t>ED150</t>
  </si>
  <si>
    <t>EI150</t>
  </si>
  <si>
    <t>E150</t>
  </si>
  <si>
    <t>P200</t>
  </si>
  <si>
    <t>P201</t>
  </si>
  <si>
    <t>P202</t>
  </si>
  <si>
    <t>PK202</t>
  </si>
  <si>
    <t>PK201</t>
  </si>
  <si>
    <t>P304</t>
  </si>
  <si>
    <t>P303</t>
  </si>
  <si>
    <t>SI5003</t>
  </si>
  <si>
    <t>P300</t>
  </si>
  <si>
    <t>PI304</t>
  </si>
  <si>
    <t>PI303</t>
  </si>
  <si>
    <t>P400</t>
  </si>
  <si>
    <t>PR401</t>
  </si>
  <si>
    <t>PI401A</t>
  </si>
  <si>
    <t>PI402A</t>
  </si>
  <si>
    <t>PR402</t>
  </si>
  <si>
    <t>P600</t>
  </si>
  <si>
    <t>PR601</t>
  </si>
  <si>
    <t>PI601</t>
  </si>
  <si>
    <t>EI733</t>
  </si>
  <si>
    <t>ER750</t>
  </si>
  <si>
    <t>ER770</t>
  </si>
  <si>
    <t>EI7X2</t>
  </si>
  <si>
    <t>EI772</t>
  </si>
  <si>
    <t>EI752</t>
  </si>
  <si>
    <t>E700</t>
  </si>
  <si>
    <t>E800</t>
  </si>
  <si>
    <t>EI806</t>
  </si>
  <si>
    <t>EI801</t>
  </si>
  <si>
    <t>EI-906</t>
  </si>
  <si>
    <t>EI-9061006</t>
  </si>
  <si>
    <t>EI-9001006</t>
  </si>
  <si>
    <t>EI-1001</t>
  </si>
  <si>
    <t>EI-901</t>
  </si>
  <si>
    <t>EI-9001000</t>
  </si>
  <si>
    <t>EI906</t>
  </si>
  <si>
    <t>EI1006</t>
  </si>
  <si>
    <t>Y100</t>
  </si>
  <si>
    <t>Y120</t>
  </si>
  <si>
    <t>Y160170</t>
  </si>
  <si>
    <t>Y170</t>
  </si>
  <si>
    <t>Y160</t>
  </si>
  <si>
    <t>L650</t>
  </si>
  <si>
    <t>LI651</t>
  </si>
  <si>
    <t>LI660</t>
  </si>
  <si>
    <t>L670</t>
  </si>
  <si>
    <t>SB670</t>
  </si>
  <si>
    <t>LI671</t>
  </si>
  <si>
    <t>VI710</t>
  </si>
  <si>
    <t>VR710</t>
  </si>
  <si>
    <t>VI810</t>
  </si>
  <si>
    <t>VR810</t>
  </si>
  <si>
    <t>V700800</t>
  </si>
  <si>
    <t>V700</t>
  </si>
  <si>
    <t>V800</t>
  </si>
  <si>
    <t>EI701</t>
  </si>
  <si>
    <t>x</t>
  </si>
  <si>
    <t>y</t>
  </si>
  <si>
    <t>id_aux_1</t>
  </si>
  <si>
    <t>id_aux_2</t>
  </si>
  <si>
    <t>id_aux_3</t>
  </si>
  <si>
    <t>E</t>
  </si>
  <si>
    <t>EI</t>
  </si>
  <si>
    <t>ED</t>
  </si>
  <si>
    <t>planta</t>
  </si>
  <si>
    <t>V-700/V-800</t>
  </si>
  <si>
    <t>E-700</t>
  </si>
  <si>
    <t>E-800</t>
  </si>
  <si>
    <t>E-900/E-1000</t>
  </si>
  <si>
    <t>liq-liq</t>
  </si>
  <si>
    <t>7x2</t>
  </si>
  <si>
    <t>sil-pel</t>
  </si>
  <si>
    <t>P-400</t>
  </si>
  <si>
    <t>P-600</t>
  </si>
  <si>
    <t>GF</t>
  </si>
  <si>
    <t>AT</t>
  </si>
  <si>
    <t>planta-numero</t>
  </si>
  <si>
    <t>id_aux_4</t>
  </si>
  <si>
    <t>P</t>
  </si>
  <si>
    <t>R</t>
  </si>
  <si>
    <t>Y</t>
  </si>
  <si>
    <t>L</t>
  </si>
  <si>
    <t>V</t>
  </si>
  <si>
    <t>E900/E1000</t>
  </si>
  <si>
    <t>material</t>
  </si>
  <si>
    <t>acer</t>
  </si>
  <si>
    <t>inox</t>
  </si>
  <si>
    <t>OD mm</t>
  </si>
  <si>
    <t>WT mm</t>
  </si>
  <si>
    <t>Flow velocity ms</t>
  </si>
  <si>
    <t>Mass flow rate m3s</t>
  </si>
  <si>
    <t>-</t>
  </si>
  <si>
    <t>mass flow rate m3h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</si>
</sst>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9219E-119C-467C-9531-507D24E0A5C1}">
  <sheetPr>
    <pageSetUpPr fitToPage="1"/>
  </sheetPr>
  <dimension ref="A1:T71"/>
  <sheetViews>
    <sheetView tabSelected="1" topLeftCell="B1" zoomScale="87" zoomScaleNormal="235" workbookViewId="0">
      <selection activeCell="P3" sqref="P3"/>
    </sheetView>
  </sheetViews>
  <sheetFormatPr defaultRowHeight="14.4" x14ac:dyDescent="0.3"/>
  <cols>
    <col min="1" max="2" width="8.88671875" style="1"/>
    <col min="3" max="3" width="13" style="1" customWidth="1"/>
    <col min="4" max="4" width="9.21875" style="1" customWidth="1"/>
    <col min="5" max="5" width="8.6640625" style="1" customWidth="1"/>
    <col min="6" max="6" width="13.44140625" style="1" customWidth="1"/>
    <col min="7" max="7" width="15.5546875" style="1" customWidth="1"/>
    <col min="8" max="8" width="10.77734375" style="1" customWidth="1"/>
    <col min="9" max="9" width="18.33203125" style="1" customWidth="1"/>
    <col min="10" max="10" width="11.44140625" style="1" customWidth="1"/>
    <col min="11" max="11" width="13.33203125" style="1" customWidth="1"/>
    <col min="12" max="12" width="12.6640625" style="1" customWidth="1"/>
    <col min="13" max="15" width="8.88671875" style="1"/>
    <col min="16" max="16" width="13.109375" style="1" customWidth="1"/>
    <col min="17" max="17" width="8.5546875" style="1" customWidth="1"/>
    <col min="18" max="18" width="14.77734375" style="1" customWidth="1"/>
    <col min="19" max="19" width="20.44140625" style="1" customWidth="1"/>
    <col min="20" max="20" width="13.44140625" style="1" customWidth="1"/>
    <col min="21" max="16384" width="8.88671875" style="1"/>
  </cols>
  <sheetData>
    <row r="1" spans="1:20" x14ac:dyDescent="0.3">
      <c r="A1" s="1" t="s">
        <v>89</v>
      </c>
      <c r="B1" s="1" t="s">
        <v>90</v>
      </c>
      <c r="C1" s="1" t="s">
        <v>97</v>
      </c>
      <c r="D1" s="1" t="s">
        <v>110</v>
      </c>
      <c r="E1" s="1" t="s">
        <v>91</v>
      </c>
      <c r="F1" s="1" t="s">
        <v>92</v>
      </c>
      <c r="G1" s="1" t="s">
        <v>93</v>
      </c>
      <c r="H1" s="1" t="s">
        <v>0</v>
      </c>
      <c r="I1" s="1" t="s">
        <v>109</v>
      </c>
      <c r="J1" s="1" t="s">
        <v>11</v>
      </c>
      <c r="K1" s="1" t="s">
        <v>1</v>
      </c>
      <c r="L1" s="1" t="s">
        <v>2</v>
      </c>
      <c r="M1" s="1" t="s">
        <v>26</v>
      </c>
      <c r="N1" s="1" t="s">
        <v>120</v>
      </c>
      <c r="O1" s="1" t="s">
        <v>121</v>
      </c>
      <c r="P1" s="1" t="s">
        <v>3</v>
      </c>
      <c r="Q1" s="1" t="s">
        <v>117</v>
      </c>
      <c r="R1" s="1" t="s">
        <v>122</v>
      </c>
      <c r="S1" s="1" t="s">
        <v>123</v>
      </c>
      <c r="T1" s="1" t="s">
        <v>125</v>
      </c>
    </row>
    <row r="2" spans="1:20" x14ac:dyDescent="0.3">
      <c r="A2" s="1">
        <v>350</v>
      </c>
      <c r="B2" s="1">
        <v>131</v>
      </c>
      <c r="C2" s="1" t="s">
        <v>108</v>
      </c>
      <c r="D2" s="1">
        <v>1</v>
      </c>
      <c r="F2" s="1">
        <v>105</v>
      </c>
      <c r="G2" s="1">
        <v>1</v>
      </c>
      <c r="H2" s="1" t="str">
        <f t="shared" ref="H2:H33" si="0">E2&amp;"-"&amp;F2&amp;"0"&amp;G2</f>
        <v>-10501</v>
      </c>
      <c r="I2" s="1" t="str">
        <f t="shared" ref="I2:I33" si="1">C2&amp;"-0"&amp;G2</f>
        <v>AT-01</v>
      </c>
      <c r="J2" s="1" t="s">
        <v>12</v>
      </c>
      <c r="K2" s="1" t="s">
        <v>19</v>
      </c>
      <c r="L2" s="1" t="s">
        <v>25</v>
      </c>
      <c r="M2" s="1">
        <v>150</v>
      </c>
      <c r="N2" s="1">
        <v>168.3</v>
      </c>
      <c r="O2" s="1">
        <v>4.8</v>
      </c>
      <c r="P2" s="1">
        <f>PI()*(((N2-O2)*10^-3)^2/4)</f>
        <v>2.0995460053481439E-2</v>
      </c>
      <c r="Q2" s="1" t="s">
        <v>118</v>
      </c>
      <c r="R2" s="1">
        <v>3</v>
      </c>
      <c r="S2" s="1">
        <f>R2*P2</f>
        <v>6.2986380160444319E-2</v>
      </c>
      <c r="T2" s="1">
        <f>S2*3600</f>
        <v>226.75096857759954</v>
      </c>
    </row>
    <row r="3" spans="1:20" x14ac:dyDescent="0.3">
      <c r="A3" s="1">
        <v>370</v>
      </c>
      <c r="B3" s="1">
        <v>134</v>
      </c>
      <c r="C3" s="1" t="s">
        <v>108</v>
      </c>
      <c r="D3" s="1">
        <v>1</v>
      </c>
      <c r="F3" s="1">
        <v>107</v>
      </c>
      <c r="G3" s="1">
        <v>2</v>
      </c>
      <c r="H3" s="1" t="str">
        <f t="shared" si="0"/>
        <v>-10702</v>
      </c>
      <c r="I3" s="1" t="str">
        <f t="shared" si="1"/>
        <v>AT-02</v>
      </c>
      <c r="J3" s="1" t="s">
        <v>13</v>
      </c>
      <c r="K3" s="1" t="s">
        <v>20</v>
      </c>
      <c r="L3" s="1" t="s">
        <v>25</v>
      </c>
      <c r="M3" s="1">
        <v>150</v>
      </c>
      <c r="N3" s="1">
        <v>168.3</v>
      </c>
      <c r="O3" s="1">
        <v>4.8</v>
      </c>
      <c r="P3" s="1">
        <f t="shared" ref="P3:P33" si="2">PI()*(((N3-O3)*10^-3)^2/4)</f>
        <v>2.0995460053481439E-2</v>
      </c>
      <c r="Q3" s="1" t="s">
        <v>118</v>
      </c>
      <c r="R3" s="1">
        <v>3</v>
      </c>
      <c r="S3" s="1">
        <f t="shared" ref="S3:S66" si="3">R3*P3</f>
        <v>6.2986380160444319E-2</v>
      </c>
      <c r="T3" s="1">
        <f t="shared" ref="T3:T66" si="4">S3*3600</f>
        <v>226.75096857759954</v>
      </c>
    </row>
    <row r="4" spans="1:20" x14ac:dyDescent="0.3">
      <c r="A4" s="1">
        <v>398</v>
      </c>
      <c r="B4" s="1">
        <v>135</v>
      </c>
      <c r="C4" s="1" t="s">
        <v>108</v>
      </c>
      <c r="D4" s="1">
        <v>1</v>
      </c>
      <c r="F4" s="1">
        <v>106</v>
      </c>
      <c r="G4" s="1">
        <v>3</v>
      </c>
      <c r="H4" s="1" t="str">
        <f t="shared" si="0"/>
        <v>-10603</v>
      </c>
      <c r="I4" s="1" t="str">
        <f t="shared" si="1"/>
        <v>AT-03</v>
      </c>
      <c r="J4" s="1" t="s">
        <v>14</v>
      </c>
      <c r="K4" s="1" t="s">
        <v>21</v>
      </c>
      <c r="L4" s="1" t="s">
        <v>25</v>
      </c>
      <c r="M4" s="1">
        <v>150</v>
      </c>
      <c r="N4" s="1">
        <v>168.3</v>
      </c>
      <c r="O4" s="1">
        <v>4.8</v>
      </c>
      <c r="P4" s="1">
        <f t="shared" si="2"/>
        <v>2.0995460053481439E-2</v>
      </c>
      <c r="Q4" s="1" t="s">
        <v>118</v>
      </c>
      <c r="R4" s="1">
        <v>3</v>
      </c>
      <c r="S4" s="1">
        <f t="shared" si="3"/>
        <v>6.2986380160444319E-2</v>
      </c>
      <c r="T4" s="1">
        <f t="shared" si="4"/>
        <v>226.75096857759954</v>
      </c>
    </row>
    <row r="5" spans="1:20" x14ac:dyDescent="0.3">
      <c r="A5" s="1">
        <v>413</v>
      </c>
      <c r="B5" s="1">
        <v>137</v>
      </c>
      <c r="C5" s="1" t="s">
        <v>108</v>
      </c>
      <c r="D5" s="1">
        <v>1</v>
      </c>
      <c r="F5" s="1">
        <v>108</v>
      </c>
      <c r="G5" s="1">
        <v>4</v>
      </c>
      <c r="H5" s="1" t="str">
        <f t="shared" si="0"/>
        <v>-10804</v>
      </c>
      <c r="I5" s="1" t="str">
        <f t="shared" si="1"/>
        <v>AT-04</v>
      </c>
      <c r="J5" s="1" t="s">
        <v>15</v>
      </c>
      <c r="K5" s="1" t="s">
        <v>22</v>
      </c>
      <c r="L5" s="1" t="s">
        <v>25</v>
      </c>
      <c r="M5" s="1">
        <v>150</v>
      </c>
      <c r="N5" s="1">
        <v>168.3</v>
      </c>
      <c r="O5" s="1">
        <v>4.8</v>
      </c>
      <c r="P5" s="1">
        <f t="shared" si="2"/>
        <v>2.0995460053481439E-2</v>
      </c>
      <c r="Q5" s="1" t="s">
        <v>118</v>
      </c>
      <c r="R5" s="1">
        <v>3.4</v>
      </c>
      <c r="S5" s="1">
        <f t="shared" si="3"/>
        <v>7.138456418183689E-2</v>
      </c>
      <c r="T5" s="1">
        <f t="shared" si="4"/>
        <v>256.9844310546128</v>
      </c>
    </row>
    <row r="6" spans="1:20" x14ac:dyDescent="0.3">
      <c r="A6" s="1">
        <v>430</v>
      </c>
      <c r="B6" s="1">
        <v>140</v>
      </c>
      <c r="C6" s="1" t="s">
        <v>108</v>
      </c>
      <c r="D6" s="1">
        <v>1</v>
      </c>
      <c r="F6" s="1">
        <v>104</v>
      </c>
      <c r="G6" s="1">
        <v>5</v>
      </c>
      <c r="H6" s="1" t="str">
        <f t="shared" si="0"/>
        <v>-10405</v>
      </c>
      <c r="I6" s="1" t="str">
        <f t="shared" si="1"/>
        <v>AT-05</v>
      </c>
      <c r="J6" s="1" t="s">
        <v>16</v>
      </c>
      <c r="K6" s="1" t="s">
        <v>23</v>
      </c>
      <c r="L6" s="1" t="s">
        <v>25</v>
      </c>
      <c r="M6" s="1">
        <v>150</v>
      </c>
      <c r="N6" s="1">
        <v>168.3</v>
      </c>
      <c r="O6" s="1">
        <v>4.8</v>
      </c>
      <c r="P6" s="1">
        <f t="shared" si="2"/>
        <v>2.0995460053481439E-2</v>
      </c>
      <c r="Q6" s="1" t="s">
        <v>118</v>
      </c>
      <c r="R6" s="1">
        <v>3.4</v>
      </c>
      <c r="S6" s="1">
        <f t="shared" si="3"/>
        <v>7.138456418183689E-2</v>
      </c>
      <c r="T6" s="1">
        <f t="shared" si="4"/>
        <v>256.9844310546128</v>
      </c>
    </row>
    <row r="7" spans="1:20" x14ac:dyDescent="0.3">
      <c r="A7" s="1">
        <v>482</v>
      </c>
      <c r="B7" s="1">
        <v>118</v>
      </c>
      <c r="C7" s="1" t="s">
        <v>108</v>
      </c>
      <c r="D7" s="1">
        <v>1</v>
      </c>
      <c r="F7" s="1">
        <v>109</v>
      </c>
      <c r="G7" s="1">
        <v>6</v>
      </c>
      <c r="H7" s="1" t="str">
        <f t="shared" si="0"/>
        <v>-10906</v>
      </c>
      <c r="I7" s="1" t="str">
        <f t="shared" si="1"/>
        <v>AT-06</v>
      </c>
      <c r="J7" s="1" t="s">
        <v>17</v>
      </c>
      <c r="K7" s="1" t="s">
        <v>24</v>
      </c>
      <c r="L7" s="1" t="s">
        <v>25</v>
      </c>
      <c r="M7" s="1" t="s">
        <v>124</v>
      </c>
      <c r="N7" s="1">
        <v>204</v>
      </c>
      <c r="O7" s="1">
        <v>4.8</v>
      </c>
      <c r="P7" s="1">
        <f t="shared" si="2"/>
        <v>3.116510177843532E-2</v>
      </c>
      <c r="Q7" s="1" t="s">
        <v>119</v>
      </c>
      <c r="R7" s="1">
        <v>1.35</v>
      </c>
      <c r="S7" s="1">
        <f t="shared" si="3"/>
        <v>4.2072887400887687E-2</v>
      </c>
      <c r="T7" s="1">
        <f t="shared" si="4"/>
        <v>151.46239464319567</v>
      </c>
    </row>
    <row r="8" spans="1:20" x14ac:dyDescent="0.3">
      <c r="A8" s="1">
        <v>600</v>
      </c>
      <c r="B8" s="1">
        <v>215</v>
      </c>
      <c r="C8" s="1" t="s">
        <v>108</v>
      </c>
      <c r="D8" s="1">
        <v>1</v>
      </c>
      <c r="G8" s="1">
        <v>7</v>
      </c>
      <c r="H8" s="1" t="str">
        <f t="shared" si="0"/>
        <v>-07</v>
      </c>
      <c r="I8" s="1" t="str">
        <f t="shared" si="1"/>
        <v>AT-07</v>
      </c>
      <c r="J8" s="1" t="s">
        <v>18</v>
      </c>
      <c r="K8" s="1" t="s">
        <v>25</v>
      </c>
      <c r="M8" s="1">
        <v>350</v>
      </c>
      <c r="N8" s="1">
        <v>355.6</v>
      </c>
      <c r="O8" s="1">
        <v>8</v>
      </c>
      <c r="P8" s="1">
        <f t="shared" si="2"/>
        <v>9.4896329995100878E-2</v>
      </c>
      <c r="Q8" s="1" t="s">
        <v>118</v>
      </c>
      <c r="R8" s="1">
        <v>2.35</v>
      </c>
      <c r="S8" s="1">
        <f t="shared" si="3"/>
        <v>0.22300637548848706</v>
      </c>
      <c r="T8" s="1">
        <f t="shared" si="4"/>
        <v>802.82295175855347</v>
      </c>
    </row>
    <row r="9" spans="1:20" x14ac:dyDescent="0.3">
      <c r="A9" s="1">
        <v>1042</v>
      </c>
      <c r="B9" s="1">
        <v>785</v>
      </c>
      <c r="C9" s="1" t="s">
        <v>99</v>
      </c>
      <c r="D9" s="1">
        <v>2</v>
      </c>
      <c r="E9" s="1" t="s">
        <v>94</v>
      </c>
      <c r="F9" s="1">
        <v>700</v>
      </c>
      <c r="G9" s="1">
        <v>1</v>
      </c>
      <c r="H9" s="1" t="str">
        <f t="shared" si="0"/>
        <v>E-70001</v>
      </c>
      <c r="I9" s="1" t="str">
        <f t="shared" si="1"/>
        <v>E-700-01</v>
      </c>
      <c r="J9" s="1" t="s">
        <v>58</v>
      </c>
      <c r="K9" s="1" t="s">
        <v>25</v>
      </c>
      <c r="L9" s="1" t="s">
        <v>58</v>
      </c>
      <c r="M9" s="1">
        <v>200</v>
      </c>
      <c r="N9" s="1">
        <v>220</v>
      </c>
      <c r="P9" s="1">
        <f t="shared" si="2"/>
        <v>3.8013271108436497E-2</v>
      </c>
      <c r="Q9" s="1" t="s">
        <v>118</v>
      </c>
      <c r="S9" s="1">
        <f t="shared" si="3"/>
        <v>0</v>
      </c>
      <c r="T9" s="1">
        <f t="shared" si="4"/>
        <v>0</v>
      </c>
    </row>
    <row r="10" spans="1:20" x14ac:dyDescent="0.3">
      <c r="A10" s="1">
        <v>928</v>
      </c>
      <c r="B10" s="1">
        <v>746</v>
      </c>
      <c r="C10" s="1" t="s">
        <v>99</v>
      </c>
      <c r="D10" s="1">
        <v>2</v>
      </c>
      <c r="E10" s="1" t="s">
        <v>94</v>
      </c>
      <c r="F10" s="1">
        <v>733</v>
      </c>
      <c r="G10" s="1">
        <v>2</v>
      </c>
      <c r="H10" s="1" t="str">
        <f t="shared" si="0"/>
        <v>E-73302</v>
      </c>
      <c r="I10" s="1" t="str">
        <f t="shared" si="1"/>
        <v>E-700-02</v>
      </c>
      <c r="J10" s="1" t="s">
        <v>52</v>
      </c>
      <c r="K10" s="1" t="s">
        <v>58</v>
      </c>
      <c r="L10" s="1" t="s">
        <v>52</v>
      </c>
      <c r="M10" s="1">
        <v>80</v>
      </c>
      <c r="N10" s="1">
        <v>88.9</v>
      </c>
      <c r="O10" s="1">
        <v>4</v>
      </c>
      <c r="P10" s="1">
        <f t="shared" si="2"/>
        <v>5.661157815750442E-3</v>
      </c>
      <c r="Q10" s="1" t="s">
        <v>118</v>
      </c>
      <c r="S10" s="1">
        <f t="shared" si="3"/>
        <v>0</v>
      </c>
      <c r="T10" s="1">
        <f t="shared" si="4"/>
        <v>0</v>
      </c>
    </row>
    <row r="11" spans="1:20" x14ac:dyDescent="0.3">
      <c r="A11" s="1">
        <v>820</v>
      </c>
      <c r="B11" s="1">
        <v>1017</v>
      </c>
      <c r="C11" s="1" t="s">
        <v>99</v>
      </c>
      <c r="D11" s="1">
        <v>2</v>
      </c>
      <c r="E11" s="1" t="s">
        <v>94</v>
      </c>
      <c r="F11" s="1">
        <v>752</v>
      </c>
      <c r="G11" s="1">
        <v>7</v>
      </c>
      <c r="H11" s="1" t="str">
        <f t="shared" si="0"/>
        <v>E-75207</v>
      </c>
      <c r="I11" s="1" t="str">
        <f t="shared" si="1"/>
        <v>E-700-07</v>
      </c>
      <c r="J11" s="1" t="s">
        <v>57</v>
      </c>
      <c r="K11" s="1" t="s">
        <v>58</v>
      </c>
      <c r="L11" s="1" t="s">
        <v>57</v>
      </c>
      <c r="M11" s="1">
        <v>80</v>
      </c>
      <c r="N11" s="1">
        <v>88.9</v>
      </c>
      <c r="O11" s="1">
        <v>4</v>
      </c>
      <c r="P11" s="1">
        <f t="shared" si="2"/>
        <v>5.661157815750442E-3</v>
      </c>
      <c r="Q11" s="1" t="s">
        <v>118</v>
      </c>
      <c r="S11" s="1">
        <f t="shared" si="3"/>
        <v>0</v>
      </c>
      <c r="T11" s="1">
        <f t="shared" si="4"/>
        <v>0</v>
      </c>
    </row>
    <row r="12" spans="1:20" x14ac:dyDescent="0.3">
      <c r="A12" s="1">
        <v>819</v>
      </c>
      <c r="B12" s="1">
        <v>982.8</v>
      </c>
      <c r="C12" s="1" t="s">
        <v>99</v>
      </c>
      <c r="D12" s="1">
        <v>2</v>
      </c>
      <c r="E12" s="1" t="s">
        <v>94</v>
      </c>
      <c r="F12" s="1">
        <v>772</v>
      </c>
      <c r="G12" s="1">
        <v>6</v>
      </c>
      <c r="H12" s="1" t="str">
        <f t="shared" si="0"/>
        <v>E-77206</v>
      </c>
      <c r="I12" s="1" t="str">
        <f t="shared" si="1"/>
        <v>E-700-06</v>
      </c>
      <c r="J12" s="1" t="s">
        <v>56</v>
      </c>
      <c r="K12" s="1" t="s">
        <v>58</v>
      </c>
      <c r="L12" s="1" t="s">
        <v>56</v>
      </c>
      <c r="M12" s="1">
        <v>65</v>
      </c>
      <c r="N12" s="1">
        <v>76.099999999999994</v>
      </c>
      <c r="O12" s="1">
        <v>3.6</v>
      </c>
      <c r="P12" s="1">
        <f t="shared" si="2"/>
        <v>4.1282490963578371E-3</v>
      </c>
      <c r="Q12" s="1" t="s">
        <v>118</v>
      </c>
      <c r="S12" s="1">
        <f t="shared" si="3"/>
        <v>0</v>
      </c>
      <c r="T12" s="1">
        <f t="shared" si="4"/>
        <v>0</v>
      </c>
    </row>
    <row r="13" spans="1:20" x14ac:dyDescent="0.3">
      <c r="A13" s="1">
        <v>813</v>
      </c>
      <c r="B13" s="1">
        <v>935</v>
      </c>
      <c r="C13" s="1" t="s">
        <v>99</v>
      </c>
      <c r="D13" s="1">
        <v>2</v>
      </c>
      <c r="E13" s="1" t="s">
        <v>94</v>
      </c>
      <c r="F13" s="1" t="s">
        <v>103</v>
      </c>
      <c r="G13" s="1">
        <v>5</v>
      </c>
      <c r="H13" s="1" t="str">
        <f t="shared" si="0"/>
        <v>E-7x205</v>
      </c>
      <c r="I13" s="1" t="str">
        <f t="shared" si="1"/>
        <v>E-700-05</v>
      </c>
      <c r="J13" s="1" t="s">
        <v>55</v>
      </c>
      <c r="M13" s="1">
        <v>100</v>
      </c>
      <c r="N13" s="1">
        <v>114</v>
      </c>
      <c r="O13" s="1">
        <v>4.5</v>
      </c>
      <c r="P13" s="1">
        <f t="shared" si="2"/>
        <v>9.4171203286762539E-3</v>
      </c>
      <c r="Q13" s="1" t="s">
        <v>118</v>
      </c>
      <c r="S13" s="1">
        <f t="shared" si="3"/>
        <v>0</v>
      </c>
      <c r="T13" s="1">
        <f t="shared" si="4"/>
        <v>0</v>
      </c>
    </row>
    <row r="14" spans="1:20" x14ac:dyDescent="0.3">
      <c r="A14" s="1">
        <v>926</v>
      </c>
      <c r="B14" s="1">
        <v>838</v>
      </c>
      <c r="C14" s="1" t="s">
        <v>99</v>
      </c>
      <c r="D14" s="1">
        <v>2</v>
      </c>
      <c r="E14" s="1" t="s">
        <v>94</v>
      </c>
      <c r="F14" s="1">
        <v>750</v>
      </c>
      <c r="G14" s="1">
        <v>3</v>
      </c>
      <c r="H14" s="1" t="str">
        <f t="shared" si="0"/>
        <v>E-75003</v>
      </c>
      <c r="I14" s="1" t="str">
        <f t="shared" si="1"/>
        <v>E-700-03</v>
      </c>
      <c r="J14" s="1" t="s">
        <v>53</v>
      </c>
      <c r="K14" s="1" t="s">
        <v>58</v>
      </c>
      <c r="L14" s="1" t="s">
        <v>53</v>
      </c>
      <c r="P14" s="1">
        <f t="shared" si="2"/>
        <v>0</v>
      </c>
      <c r="Q14" s="1" t="s">
        <v>118</v>
      </c>
      <c r="S14" s="1">
        <f t="shared" si="3"/>
        <v>0</v>
      </c>
      <c r="T14" s="1">
        <f t="shared" si="4"/>
        <v>0</v>
      </c>
    </row>
    <row r="15" spans="1:20" x14ac:dyDescent="0.3">
      <c r="A15" s="1">
        <v>882</v>
      </c>
      <c r="B15" s="1">
        <v>845</v>
      </c>
      <c r="C15" s="1" t="s">
        <v>99</v>
      </c>
      <c r="D15" s="1">
        <v>2</v>
      </c>
      <c r="E15" s="1" t="s">
        <v>94</v>
      </c>
      <c r="F15" s="1">
        <v>770</v>
      </c>
      <c r="G15" s="1">
        <v>4</v>
      </c>
      <c r="H15" s="1" t="str">
        <f t="shared" si="0"/>
        <v>E-77004</v>
      </c>
      <c r="I15" s="1" t="str">
        <f t="shared" si="1"/>
        <v>E-700-04</v>
      </c>
      <c r="J15" s="1" t="s">
        <v>54</v>
      </c>
      <c r="K15" s="1" t="s">
        <v>58</v>
      </c>
      <c r="L15" s="1" t="s">
        <v>54</v>
      </c>
      <c r="P15" s="1">
        <f t="shared" si="2"/>
        <v>0</v>
      </c>
      <c r="Q15" s="1" t="s">
        <v>118</v>
      </c>
      <c r="S15" s="1">
        <f t="shared" si="3"/>
        <v>0</v>
      </c>
      <c r="T15" s="1">
        <f t="shared" si="4"/>
        <v>0</v>
      </c>
    </row>
    <row r="16" spans="1:20" x14ac:dyDescent="0.3">
      <c r="A16" s="1">
        <v>1073</v>
      </c>
      <c r="B16" s="1">
        <v>1081</v>
      </c>
      <c r="C16" s="1" t="s">
        <v>99</v>
      </c>
      <c r="D16" s="1">
        <v>2</v>
      </c>
      <c r="E16" s="1" t="s">
        <v>94</v>
      </c>
      <c r="F16" s="1">
        <v>120</v>
      </c>
      <c r="G16" s="1">
        <v>8</v>
      </c>
      <c r="H16" s="1" t="str">
        <f t="shared" si="0"/>
        <v>E-12008</v>
      </c>
      <c r="I16" s="1" t="str">
        <f t="shared" si="1"/>
        <v>E-700-08</v>
      </c>
      <c r="J16" s="1" t="s">
        <v>71</v>
      </c>
      <c r="K16" s="1" t="s">
        <v>58</v>
      </c>
      <c r="L16" s="1" t="s">
        <v>71</v>
      </c>
      <c r="M16" s="1">
        <v>125</v>
      </c>
      <c r="N16" s="1">
        <v>141</v>
      </c>
      <c r="O16" s="1">
        <v>5</v>
      </c>
      <c r="P16" s="1">
        <f t="shared" si="2"/>
        <v>1.4526724430199206E-2</v>
      </c>
      <c r="Q16" s="1" t="s">
        <v>118</v>
      </c>
      <c r="S16" s="1">
        <f t="shared" si="3"/>
        <v>0</v>
      </c>
      <c r="T16" s="1">
        <f t="shared" si="4"/>
        <v>0</v>
      </c>
    </row>
    <row r="17" spans="1:20" x14ac:dyDescent="0.3">
      <c r="A17" s="1">
        <v>1515</v>
      </c>
      <c r="B17" s="1">
        <v>911</v>
      </c>
      <c r="C17" s="1" t="s">
        <v>100</v>
      </c>
      <c r="D17" s="1">
        <v>3</v>
      </c>
      <c r="E17" s="1" t="s">
        <v>94</v>
      </c>
      <c r="F17" s="1">
        <v>800</v>
      </c>
      <c r="G17" s="1">
        <v>1</v>
      </c>
      <c r="H17" s="1" t="str">
        <f t="shared" si="0"/>
        <v>E-80001</v>
      </c>
      <c r="I17" s="1" t="str">
        <f t="shared" si="1"/>
        <v>E-800-01</v>
      </c>
      <c r="J17" s="1" t="s">
        <v>59</v>
      </c>
      <c r="K17" s="1" t="s">
        <v>25</v>
      </c>
      <c r="L17" s="1" t="s">
        <v>59</v>
      </c>
      <c r="M17" s="1">
        <v>155</v>
      </c>
      <c r="N17" s="1">
        <v>155</v>
      </c>
      <c r="O17" s="1">
        <v>1.8</v>
      </c>
      <c r="P17" s="1">
        <f t="shared" si="2"/>
        <v>1.8433483390497326E-2</v>
      </c>
      <c r="Q17" s="1" t="s">
        <v>119</v>
      </c>
      <c r="R17" s="1">
        <v>0.7</v>
      </c>
      <c r="S17" s="1">
        <f t="shared" si="3"/>
        <v>1.2903438373348128E-2</v>
      </c>
      <c r="T17" s="1">
        <f t="shared" si="4"/>
        <v>46.452378144053263</v>
      </c>
    </row>
    <row r="18" spans="1:20" x14ac:dyDescent="0.3">
      <c r="A18" s="1">
        <v>1504</v>
      </c>
      <c r="B18" s="1">
        <v>967</v>
      </c>
      <c r="C18" s="1" t="s">
        <v>100</v>
      </c>
      <c r="D18" s="1">
        <v>3</v>
      </c>
      <c r="E18" s="1" t="s">
        <v>94</v>
      </c>
      <c r="F18" s="1">
        <v>801</v>
      </c>
      <c r="G18" s="1">
        <v>2</v>
      </c>
      <c r="H18" s="1" t="str">
        <f t="shared" si="0"/>
        <v>E-80102</v>
      </c>
      <c r="I18" s="1" t="str">
        <f t="shared" si="1"/>
        <v>E-800-02</v>
      </c>
      <c r="J18" s="1" t="s">
        <v>61</v>
      </c>
      <c r="K18" s="1" t="s">
        <v>59</v>
      </c>
      <c r="L18" s="1" t="s">
        <v>61</v>
      </c>
      <c r="M18" s="1">
        <v>80</v>
      </c>
      <c r="N18" s="1">
        <v>88.9</v>
      </c>
      <c r="O18" s="1">
        <v>2</v>
      </c>
      <c r="P18" s="1">
        <f t="shared" si="2"/>
        <v>5.9310206246938049E-3</v>
      </c>
      <c r="Q18" s="1" t="s">
        <v>119</v>
      </c>
      <c r="R18" s="1">
        <v>0.5</v>
      </c>
      <c r="S18" s="1">
        <f t="shared" si="3"/>
        <v>2.9655103123469024E-3</v>
      </c>
      <c r="T18" s="1">
        <f t="shared" si="4"/>
        <v>10.675837124448849</v>
      </c>
    </row>
    <row r="19" spans="1:20" x14ac:dyDescent="0.3">
      <c r="A19" s="1">
        <v>1525</v>
      </c>
      <c r="B19" s="1">
        <v>952</v>
      </c>
      <c r="C19" s="1" t="s">
        <v>100</v>
      </c>
      <c r="D19" s="1">
        <v>3</v>
      </c>
      <c r="E19" s="1" t="s">
        <v>94</v>
      </c>
      <c r="F19" s="1">
        <v>806</v>
      </c>
      <c r="G19" s="1">
        <v>3</v>
      </c>
      <c r="H19" s="1" t="str">
        <f t="shared" si="0"/>
        <v>E-80603</v>
      </c>
      <c r="I19" s="1" t="str">
        <f t="shared" si="1"/>
        <v>E-800-03</v>
      </c>
      <c r="J19" s="1" t="s">
        <v>60</v>
      </c>
      <c r="K19" s="1" t="s">
        <v>59</v>
      </c>
      <c r="L19" s="1" t="s">
        <v>60</v>
      </c>
      <c r="M19" s="1">
        <v>125</v>
      </c>
      <c r="N19" s="1">
        <v>139.69999999999999</v>
      </c>
      <c r="O19" s="1">
        <v>2</v>
      </c>
      <c r="P19" s="1">
        <f t="shared" si="2"/>
        <v>1.4892162341646401E-2</v>
      </c>
      <c r="Q19" s="1" t="s">
        <v>119</v>
      </c>
      <c r="R19" s="1">
        <v>0.62</v>
      </c>
      <c r="S19" s="1">
        <f t="shared" si="3"/>
        <v>9.2331406518207683E-3</v>
      </c>
      <c r="T19" s="1">
        <f t="shared" si="4"/>
        <v>33.239306346554763</v>
      </c>
    </row>
    <row r="20" spans="1:20" x14ac:dyDescent="0.3">
      <c r="A20" s="1">
        <v>1340</v>
      </c>
      <c r="B20" s="1">
        <v>912</v>
      </c>
      <c r="C20" s="1" t="s">
        <v>101</v>
      </c>
      <c r="D20" s="1">
        <v>4</v>
      </c>
      <c r="E20" s="1" t="s">
        <v>94</v>
      </c>
      <c r="F20" s="1">
        <v>1001</v>
      </c>
      <c r="G20" s="1">
        <v>6</v>
      </c>
      <c r="H20" s="1" t="str">
        <f t="shared" si="0"/>
        <v>E-100106</v>
      </c>
      <c r="I20" s="1" t="str">
        <f t="shared" si="1"/>
        <v>E-900/E-1000-06</v>
      </c>
      <c r="J20" s="1" t="s">
        <v>65</v>
      </c>
      <c r="K20" s="1" t="s">
        <v>116</v>
      </c>
      <c r="L20" s="1" t="str">
        <f>J20</f>
        <v>EI-1001</v>
      </c>
      <c r="M20" s="1">
        <v>80</v>
      </c>
      <c r="N20" s="1">
        <v>88.9</v>
      </c>
      <c r="O20" s="1">
        <v>2</v>
      </c>
      <c r="P20" s="1">
        <f t="shared" si="2"/>
        <v>5.9310206246938049E-3</v>
      </c>
      <c r="Q20" s="1" t="s">
        <v>119</v>
      </c>
      <c r="S20" s="1">
        <f t="shared" si="3"/>
        <v>0</v>
      </c>
      <c r="T20" s="1">
        <f t="shared" si="4"/>
        <v>0</v>
      </c>
    </row>
    <row r="21" spans="1:20" x14ac:dyDescent="0.3">
      <c r="A21" s="1">
        <v>1346</v>
      </c>
      <c r="B21" s="1">
        <v>1187</v>
      </c>
      <c r="C21" s="1" t="s">
        <v>101</v>
      </c>
      <c r="D21" s="1">
        <v>4</v>
      </c>
      <c r="E21" s="1" t="s">
        <v>94</v>
      </c>
      <c r="F21" s="1">
        <v>1006</v>
      </c>
      <c r="G21" s="1">
        <v>9</v>
      </c>
      <c r="H21" s="1" t="str">
        <f t="shared" si="0"/>
        <v>E-100609</v>
      </c>
      <c r="I21" s="1" t="str">
        <f t="shared" si="1"/>
        <v>E-900/E-1000-09</v>
      </c>
      <c r="J21" s="1" t="s">
        <v>69</v>
      </c>
      <c r="K21" s="1" t="s">
        <v>116</v>
      </c>
      <c r="L21" s="1" t="str">
        <f>J21</f>
        <v>EI1006</v>
      </c>
      <c r="M21" s="1">
        <v>125</v>
      </c>
      <c r="N21" s="1">
        <v>139.69999999999999</v>
      </c>
      <c r="O21" s="1">
        <v>2</v>
      </c>
      <c r="P21" s="1">
        <f t="shared" si="2"/>
        <v>1.4892162341646401E-2</v>
      </c>
      <c r="Q21" s="1" t="s">
        <v>119</v>
      </c>
      <c r="R21" s="1">
        <v>0.9</v>
      </c>
      <c r="S21" s="1">
        <f t="shared" si="3"/>
        <v>1.340294610748176E-2</v>
      </c>
      <c r="T21" s="1">
        <f t="shared" si="4"/>
        <v>48.250605986934339</v>
      </c>
    </row>
    <row r="22" spans="1:20" x14ac:dyDescent="0.3">
      <c r="A22" s="1">
        <v>1121</v>
      </c>
      <c r="B22" s="1">
        <v>827</v>
      </c>
      <c r="C22" s="1" t="s">
        <v>101</v>
      </c>
      <c r="D22" s="1">
        <v>4</v>
      </c>
      <c r="E22" s="1" t="s">
        <v>94</v>
      </c>
      <c r="F22" s="1">
        <v>900</v>
      </c>
      <c r="G22" s="1">
        <v>1</v>
      </c>
      <c r="H22" s="1" t="str">
        <f t="shared" si="0"/>
        <v>E-90001</v>
      </c>
      <c r="I22" s="1" t="str">
        <f t="shared" si="1"/>
        <v>E-900/E-1000-01</v>
      </c>
      <c r="J22" s="1" t="s">
        <v>67</v>
      </c>
      <c r="K22" s="1" t="s">
        <v>25</v>
      </c>
      <c r="L22" s="1" t="s">
        <v>116</v>
      </c>
      <c r="M22" s="1">
        <v>204</v>
      </c>
      <c r="N22" s="1">
        <v>204</v>
      </c>
      <c r="O22" s="1">
        <v>2</v>
      </c>
      <c r="P22" s="1">
        <f t="shared" si="2"/>
        <v>3.2047386659269483E-2</v>
      </c>
      <c r="Q22" s="1" t="s">
        <v>119</v>
      </c>
      <c r="S22" s="1">
        <f t="shared" si="3"/>
        <v>0</v>
      </c>
      <c r="T22" s="1">
        <f t="shared" si="4"/>
        <v>0</v>
      </c>
    </row>
    <row r="23" spans="1:20" x14ac:dyDescent="0.3">
      <c r="A23" s="1">
        <v>1359</v>
      </c>
      <c r="B23" s="1">
        <v>956</v>
      </c>
      <c r="C23" s="1" t="s">
        <v>101</v>
      </c>
      <c r="D23" s="1">
        <v>4</v>
      </c>
      <c r="E23" s="1" t="s">
        <v>94</v>
      </c>
      <c r="F23" s="1">
        <v>900</v>
      </c>
      <c r="G23" s="1">
        <v>2</v>
      </c>
      <c r="H23" s="1" t="str">
        <f t="shared" si="0"/>
        <v>E-90002</v>
      </c>
      <c r="I23" s="1" t="str">
        <f t="shared" si="1"/>
        <v>E-900/E-1000-02</v>
      </c>
      <c r="J23" s="1" t="s">
        <v>64</v>
      </c>
      <c r="M23" s="1">
        <v>204</v>
      </c>
      <c r="N23" s="1">
        <v>204</v>
      </c>
      <c r="O23" s="1">
        <v>2</v>
      </c>
      <c r="P23" s="1">
        <f t="shared" si="2"/>
        <v>3.2047386659269483E-2</v>
      </c>
      <c r="Q23" s="1" t="s">
        <v>119</v>
      </c>
      <c r="R23" s="1">
        <v>2</v>
      </c>
      <c r="S23" s="1">
        <f t="shared" si="3"/>
        <v>6.4094773318538967E-2</v>
      </c>
      <c r="T23" s="1">
        <f t="shared" si="4"/>
        <v>230.74118394674028</v>
      </c>
    </row>
    <row r="24" spans="1:20" x14ac:dyDescent="0.3">
      <c r="A24" s="1">
        <v>1337</v>
      </c>
      <c r="B24" s="1">
        <v>1003</v>
      </c>
      <c r="C24" s="1" t="s">
        <v>101</v>
      </c>
      <c r="D24" s="1">
        <v>4</v>
      </c>
      <c r="E24" s="1" t="s">
        <v>94</v>
      </c>
      <c r="F24" s="1">
        <v>901</v>
      </c>
      <c r="G24" s="1">
        <v>7</v>
      </c>
      <c r="H24" s="1" t="str">
        <f t="shared" si="0"/>
        <v>E-90107</v>
      </c>
      <c r="I24" s="1" t="str">
        <f t="shared" si="1"/>
        <v>E-900/E-1000-07</v>
      </c>
      <c r="J24" s="1" t="s">
        <v>66</v>
      </c>
      <c r="K24" s="1" t="s">
        <v>116</v>
      </c>
      <c r="L24" s="1" t="str">
        <f>J24</f>
        <v>EI-901</v>
      </c>
      <c r="M24" s="1">
        <v>80</v>
      </c>
      <c r="N24" s="1">
        <v>88.9</v>
      </c>
      <c r="O24" s="1">
        <v>2</v>
      </c>
      <c r="P24" s="1">
        <f t="shared" si="2"/>
        <v>5.9310206246938049E-3</v>
      </c>
      <c r="Q24" s="1" t="s">
        <v>119</v>
      </c>
      <c r="S24" s="1">
        <f t="shared" si="3"/>
        <v>0</v>
      </c>
      <c r="T24" s="1">
        <f t="shared" si="4"/>
        <v>0</v>
      </c>
    </row>
    <row r="25" spans="1:20" x14ac:dyDescent="0.3">
      <c r="A25" s="1">
        <v>1346</v>
      </c>
      <c r="B25" s="1">
        <v>1260</v>
      </c>
      <c r="C25" s="1" t="s">
        <v>101</v>
      </c>
      <c r="D25" s="1">
        <v>4</v>
      </c>
      <c r="E25" s="1" t="s">
        <v>94</v>
      </c>
      <c r="F25" s="1">
        <v>906</v>
      </c>
      <c r="G25" s="1">
        <v>8</v>
      </c>
      <c r="H25" s="1" t="str">
        <f t="shared" si="0"/>
        <v>E-90608</v>
      </c>
      <c r="I25" s="1" t="str">
        <f t="shared" si="1"/>
        <v>E-900/E-1000-08</v>
      </c>
      <c r="J25" s="1" t="s">
        <v>68</v>
      </c>
      <c r="K25" s="1" t="s">
        <v>116</v>
      </c>
      <c r="L25" s="1" t="str">
        <f>J25</f>
        <v>EI906</v>
      </c>
      <c r="M25" s="1">
        <v>125</v>
      </c>
      <c r="N25" s="1">
        <v>139.69999999999999</v>
      </c>
      <c r="O25" s="1">
        <v>2</v>
      </c>
      <c r="P25" s="1">
        <f t="shared" si="2"/>
        <v>1.4892162341646401E-2</v>
      </c>
      <c r="Q25" s="1" t="s">
        <v>119</v>
      </c>
      <c r="R25" s="1">
        <v>1.8</v>
      </c>
      <c r="S25" s="1">
        <f t="shared" si="3"/>
        <v>2.6805892214963521E-2</v>
      </c>
      <c r="T25" s="1">
        <f t="shared" si="4"/>
        <v>96.501211973868678</v>
      </c>
    </row>
    <row r="26" spans="1:20" x14ac:dyDescent="0.3">
      <c r="A26" s="1">
        <v>1359</v>
      </c>
      <c r="B26" s="1">
        <v>1228</v>
      </c>
      <c r="C26" s="1" t="s">
        <v>101</v>
      </c>
      <c r="D26" s="1">
        <v>4</v>
      </c>
      <c r="E26" s="1" t="s">
        <v>94</v>
      </c>
      <c r="F26" s="1">
        <v>906</v>
      </c>
      <c r="G26" s="1">
        <v>5</v>
      </c>
      <c r="H26" s="1" t="str">
        <f t="shared" si="0"/>
        <v>E-90605</v>
      </c>
      <c r="I26" s="1" t="str">
        <f t="shared" si="1"/>
        <v>E-900/E-1000-05</v>
      </c>
      <c r="J26" s="1" t="s">
        <v>62</v>
      </c>
      <c r="M26" s="1">
        <v>155</v>
      </c>
      <c r="N26" s="1">
        <v>154</v>
      </c>
      <c r="O26" s="1">
        <v>2</v>
      </c>
      <c r="P26" s="1">
        <f t="shared" si="2"/>
        <v>1.8145839167134643E-2</v>
      </c>
      <c r="Q26" s="1" t="s">
        <v>119</v>
      </c>
      <c r="R26" s="1">
        <v>2.5</v>
      </c>
      <c r="S26" s="1">
        <f t="shared" si="3"/>
        <v>4.5364597917836605E-2</v>
      </c>
      <c r="T26" s="1">
        <f t="shared" si="4"/>
        <v>163.31255250421177</v>
      </c>
    </row>
    <row r="27" spans="1:20" x14ac:dyDescent="0.3">
      <c r="A27" s="1">
        <v>1359</v>
      </c>
      <c r="B27" s="1">
        <v>1108</v>
      </c>
      <c r="C27" s="1" t="s">
        <v>101</v>
      </c>
      <c r="D27" s="1">
        <v>4</v>
      </c>
      <c r="E27" s="1" t="s">
        <v>94</v>
      </c>
      <c r="F27" s="1">
        <v>900</v>
      </c>
      <c r="G27" s="1">
        <v>3</v>
      </c>
      <c r="H27" s="1" t="str">
        <f t="shared" si="0"/>
        <v>E-90003</v>
      </c>
      <c r="I27" s="1" t="str">
        <f t="shared" si="1"/>
        <v>E-900/E-1000-03</v>
      </c>
      <c r="J27" s="1" t="s">
        <v>63</v>
      </c>
      <c r="M27" s="1">
        <v>204</v>
      </c>
      <c r="N27" s="1">
        <v>204</v>
      </c>
      <c r="O27" s="1">
        <v>2</v>
      </c>
      <c r="P27" s="1">
        <f t="shared" si="2"/>
        <v>3.2047386659269483E-2</v>
      </c>
      <c r="Q27" s="1" t="s">
        <v>119</v>
      </c>
      <c r="R27" s="1">
        <v>1.8</v>
      </c>
      <c r="S27" s="1">
        <f t="shared" si="3"/>
        <v>5.7685295986685071E-2</v>
      </c>
      <c r="T27" s="1">
        <f t="shared" si="4"/>
        <v>207.66706555206625</v>
      </c>
    </row>
    <row r="28" spans="1:20" x14ac:dyDescent="0.3">
      <c r="A28" s="1">
        <v>1359</v>
      </c>
      <c r="B28" s="1">
        <v>1163</v>
      </c>
      <c r="C28" s="1" t="s">
        <v>101</v>
      </c>
      <c r="D28" s="1">
        <v>4</v>
      </c>
      <c r="E28" s="1" t="s">
        <v>94</v>
      </c>
      <c r="F28" s="1">
        <v>900</v>
      </c>
      <c r="G28" s="1">
        <v>4</v>
      </c>
      <c r="H28" s="1" t="str">
        <f t="shared" si="0"/>
        <v>E-90004</v>
      </c>
      <c r="I28" s="1" t="str">
        <f t="shared" si="1"/>
        <v>E-900/E-1000-04</v>
      </c>
      <c r="J28" s="1" t="s">
        <v>63</v>
      </c>
      <c r="M28" s="1">
        <v>155</v>
      </c>
      <c r="N28" s="1">
        <v>154</v>
      </c>
      <c r="O28" s="1">
        <v>2</v>
      </c>
      <c r="P28" s="1">
        <f t="shared" si="2"/>
        <v>1.8145839167134643E-2</v>
      </c>
      <c r="Q28" s="1" t="s">
        <v>119</v>
      </c>
      <c r="R28" s="1">
        <v>2.8</v>
      </c>
      <c r="S28" s="1">
        <f t="shared" si="3"/>
        <v>5.0808349667976996E-2</v>
      </c>
      <c r="T28" s="1">
        <f t="shared" si="4"/>
        <v>182.91005880471718</v>
      </c>
    </row>
    <row r="29" spans="1:20" x14ac:dyDescent="0.3">
      <c r="A29" s="1">
        <v>1049</v>
      </c>
      <c r="B29" s="1">
        <v>913</v>
      </c>
      <c r="C29" s="1" t="s">
        <v>107</v>
      </c>
      <c r="D29" s="1">
        <v>5</v>
      </c>
      <c r="E29" s="1" t="s">
        <v>113</v>
      </c>
      <c r="F29" s="1">
        <v>100</v>
      </c>
      <c r="G29" s="1">
        <v>1</v>
      </c>
      <c r="H29" s="1" t="str">
        <f t="shared" si="0"/>
        <v>Y-10001</v>
      </c>
      <c r="I29" s="1" t="str">
        <f t="shared" si="1"/>
        <v>GF-01</v>
      </c>
      <c r="J29" s="1" t="s">
        <v>70</v>
      </c>
      <c r="M29" s="1">
        <v>204</v>
      </c>
      <c r="N29" s="1">
        <v>204</v>
      </c>
      <c r="O29" s="1">
        <v>2</v>
      </c>
      <c r="P29" s="1">
        <f t="shared" si="2"/>
        <v>3.2047386659269483E-2</v>
      </c>
      <c r="Q29" s="1" t="s">
        <v>119</v>
      </c>
      <c r="S29" s="1">
        <f t="shared" si="3"/>
        <v>0</v>
      </c>
      <c r="T29" s="1">
        <f t="shared" si="4"/>
        <v>0</v>
      </c>
    </row>
    <row r="30" spans="1:20" x14ac:dyDescent="0.3">
      <c r="C30" s="1" t="s">
        <v>107</v>
      </c>
      <c r="D30" s="1">
        <v>5</v>
      </c>
      <c r="E30" s="1" t="s">
        <v>113</v>
      </c>
      <c r="F30" s="1">
        <v>120</v>
      </c>
      <c r="G30" s="1">
        <v>4</v>
      </c>
      <c r="H30" s="1" t="str">
        <f t="shared" si="0"/>
        <v>Y-12004</v>
      </c>
      <c r="I30" s="1" t="str">
        <f t="shared" si="1"/>
        <v>GF-04</v>
      </c>
      <c r="J30" s="1" t="s">
        <v>71</v>
      </c>
      <c r="M30" s="1">
        <v>129</v>
      </c>
      <c r="N30" s="1">
        <v>129</v>
      </c>
      <c r="O30" s="1">
        <v>2</v>
      </c>
      <c r="P30" s="1">
        <f t="shared" si="2"/>
        <v>1.2667686977437444E-2</v>
      </c>
      <c r="Q30" s="1" t="s">
        <v>119</v>
      </c>
      <c r="S30" s="1">
        <f t="shared" si="3"/>
        <v>0</v>
      </c>
      <c r="T30" s="1">
        <f t="shared" si="4"/>
        <v>0</v>
      </c>
    </row>
    <row r="31" spans="1:20" x14ac:dyDescent="0.3">
      <c r="A31" s="1">
        <v>1020</v>
      </c>
      <c r="B31" s="1">
        <v>1174</v>
      </c>
      <c r="C31" s="1" t="s">
        <v>107</v>
      </c>
      <c r="D31" s="1">
        <v>5</v>
      </c>
      <c r="E31" s="1" t="s">
        <v>113</v>
      </c>
      <c r="F31" s="1">
        <v>160</v>
      </c>
      <c r="G31" s="1">
        <v>5</v>
      </c>
      <c r="H31" s="1" t="str">
        <f t="shared" si="0"/>
        <v>Y-16005</v>
      </c>
      <c r="I31" s="1" t="str">
        <f t="shared" si="1"/>
        <v>GF-05</v>
      </c>
      <c r="J31" s="1" t="s">
        <v>74</v>
      </c>
      <c r="M31" s="1">
        <v>129</v>
      </c>
      <c r="N31" s="1">
        <v>129</v>
      </c>
      <c r="O31" s="1">
        <v>2</v>
      </c>
      <c r="P31" s="1">
        <f t="shared" si="2"/>
        <v>1.2667686977437444E-2</v>
      </c>
      <c r="Q31" s="1" t="s">
        <v>119</v>
      </c>
      <c r="S31" s="1">
        <f t="shared" si="3"/>
        <v>0</v>
      </c>
      <c r="T31" s="1">
        <f t="shared" si="4"/>
        <v>0</v>
      </c>
    </row>
    <row r="32" spans="1:20" x14ac:dyDescent="0.3">
      <c r="A32" s="1">
        <v>1024</v>
      </c>
      <c r="B32" s="1">
        <v>1148</v>
      </c>
      <c r="C32" s="1" t="s">
        <v>107</v>
      </c>
      <c r="D32" s="1">
        <v>5</v>
      </c>
      <c r="E32" s="1" t="s">
        <v>113</v>
      </c>
      <c r="F32" s="1">
        <v>100</v>
      </c>
      <c r="G32" s="1">
        <v>2</v>
      </c>
      <c r="H32" s="1" t="str">
        <f t="shared" si="0"/>
        <v>Y-10002</v>
      </c>
      <c r="I32" s="1" t="str">
        <f t="shared" si="1"/>
        <v>GF-02</v>
      </c>
      <c r="J32" s="1" t="s">
        <v>72</v>
      </c>
      <c r="M32" s="1">
        <v>204</v>
      </c>
      <c r="N32" s="1">
        <v>204</v>
      </c>
      <c r="O32" s="1">
        <v>2</v>
      </c>
      <c r="P32" s="1">
        <f t="shared" si="2"/>
        <v>3.2047386659269483E-2</v>
      </c>
      <c r="Q32" s="1" t="s">
        <v>119</v>
      </c>
      <c r="S32" s="1">
        <f t="shared" si="3"/>
        <v>0</v>
      </c>
      <c r="T32" s="1">
        <f t="shared" si="4"/>
        <v>0</v>
      </c>
    </row>
    <row r="33" spans="1:20" x14ac:dyDescent="0.3">
      <c r="A33" s="1">
        <v>1024</v>
      </c>
      <c r="B33" s="1">
        <v>1233</v>
      </c>
      <c r="C33" s="1" t="s">
        <v>107</v>
      </c>
      <c r="D33" s="1">
        <v>5</v>
      </c>
      <c r="E33" s="1" t="s">
        <v>113</v>
      </c>
      <c r="F33" s="1">
        <v>170</v>
      </c>
      <c r="G33" s="1">
        <v>3</v>
      </c>
      <c r="H33" s="1" t="str">
        <f t="shared" si="0"/>
        <v>Y-17003</v>
      </c>
      <c r="I33" s="1" t="str">
        <f t="shared" si="1"/>
        <v>GF-03</v>
      </c>
      <c r="J33" s="1" t="s">
        <v>73</v>
      </c>
      <c r="M33" s="1">
        <v>100</v>
      </c>
      <c r="N33" s="1">
        <v>114</v>
      </c>
      <c r="O33" s="1">
        <v>2</v>
      </c>
      <c r="P33" s="1">
        <f t="shared" si="2"/>
        <v>9.8520345616575928E-3</v>
      </c>
      <c r="Q33" s="1" t="s">
        <v>119</v>
      </c>
      <c r="S33" s="1">
        <f t="shared" si="3"/>
        <v>0</v>
      </c>
      <c r="T33" s="1">
        <f t="shared" si="4"/>
        <v>0</v>
      </c>
    </row>
    <row r="34" spans="1:20" x14ac:dyDescent="0.3">
      <c r="A34" s="1">
        <v>933</v>
      </c>
      <c r="B34" s="1">
        <v>1204</v>
      </c>
      <c r="C34" s="1" t="s">
        <v>102</v>
      </c>
      <c r="D34" s="1">
        <v>6</v>
      </c>
      <c r="E34" s="1" t="s">
        <v>114</v>
      </c>
      <c r="F34" s="1">
        <v>650</v>
      </c>
      <c r="G34" s="1">
        <v>1</v>
      </c>
      <c r="H34" s="1" t="str">
        <f t="shared" ref="H34:H65" si="5">E34&amp;"-"&amp;F34&amp;"0"&amp;G34</f>
        <v>L-65001</v>
      </c>
      <c r="I34" s="1" t="str">
        <f t="shared" ref="I34:I65" si="6">C34&amp;"-0"&amp;G34</f>
        <v>liq-liq-01</v>
      </c>
      <c r="J34" s="1" t="s">
        <v>75</v>
      </c>
      <c r="M34" s="1">
        <v>65</v>
      </c>
      <c r="N34" s="1">
        <v>76.099999999999994</v>
      </c>
      <c r="O34" s="1">
        <v>3.6</v>
      </c>
      <c r="P34" s="1">
        <f t="shared" ref="P34:P65" si="7">PI()*(((N34-O34)*10^-3)^2/4)</f>
        <v>4.1282490963578371E-3</v>
      </c>
      <c r="Q34" s="1" t="s">
        <v>118</v>
      </c>
      <c r="S34" s="1">
        <f t="shared" si="3"/>
        <v>0</v>
      </c>
      <c r="T34" s="1">
        <f t="shared" si="4"/>
        <v>0</v>
      </c>
    </row>
    <row r="35" spans="1:20" x14ac:dyDescent="0.3">
      <c r="A35" s="1">
        <v>926</v>
      </c>
      <c r="B35" s="1">
        <v>1092</v>
      </c>
      <c r="C35" s="1" t="s">
        <v>102</v>
      </c>
      <c r="D35" s="1">
        <v>6</v>
      </c>
      <c r="E35" s="1" t="s">
        <v>114</v>
      </c>
      <c r="F35" s="1">
        <v>670</v>
      </c>
      <c r="G35" s="1">
        <v>4</v>
      </c>
      <c r="H35" s="1" t="str">
        <f t="shared" si="5"/>
        <v>L-67004</v>
      </c>
      <c r="I35" s="1" t="str">
        <f t="shared" si="6"/>
        <v>liq-liq-04</v>
      </c>
      <c r="J35" s="1" t="s">
        <v>78</v>
      </c>
      <c r="M35" s="1">
        <v>125</v>
      </c>
      <c r="N35" s="1">
        <v>139</v>
      </c>
      <c r="O35" s="1">
        <v>5</v>
      </c>
      <c r="P35" s="1">
        <f t="shared" si="7"/>
        <v>1.4102609421964583E-2</v>
      </c>
      <c r="Q35" s="1" t="s">
        <v>118</v>
      </c>
      <c r="S35" s="1">
        <f t="shared" si="3"/>
        <v>0</v>
      </c>
      <c r="T35" s="1">
        <f t="shared" si="4"/>
        <v>0</v>
      </c>
    </row>
    <row r="36" spans="1:20" x14ac:dyDescent="0.3">
      <c r="A36" s="1">
        <v>923</v>
      </c>
      <c r="B36" s="1">
        <v>1292</v>
      </c>
      <c r="C36" s="1" t="s">
        <v>102</v>
      </c>
      <c r="D36" s="1">
        <v>6</v>
      </c>
      <c r="E36" s="1" t="s">
        <v>114</v>
      </c>
      <c r="F36" s="1">
        <v>651</v>
      </c>
      <c r="G36" s="1">
        <v>2</v>
      </c>
      <c r="H36" s="1" t="str">
        <f t="shared" si="5"/>
        <v>L-65102</v>
      </c>
      <c r="I36" s="1" t="str">
        <f t="shared" si="6"/>
        <v>liq-liq-02</v>
      </c>
      <c r="J36" s="1" t="s">
        <v>76</v>
      </c>
      <c r="M36" s="1">
        <v>43</v>
      </c>
      <c r="N36" s="1">
        <v>43</v>
      </c>
      <c r="O36" s="1">
        <v>2</v>
      </c>
      <c r="P36" s="1">
        <f t="shared" si="7"/>
        <v>1.3202543126711107E-3</v>
      </c>
      <c r="Q36" s="1" t="s">
        <v>118</v>
      </c>
      <c r="S36" s="1">
        <f t="shared" si="3"/>
        <v>0</v>
      </c>
      <c r="T36" s="1">
        <f t="shared" si="4"/>
        <v>0</v>
      </c>
    </row>
    <row r="37" spans="1:20" x14ac:dyDescent="0.3">
      <c r="A37" s="1">
        <v>778</v>
      </c>
      <c r="B37" s="1">
        <v>1285</v>
      </c>
      <c r="C37" s="1" t="s">
        <v>102</v>
      </c>
      <c r="D37" s="1">
        <v>6</v>
      </c>
      <c r="E37" s="1" t="s">
        <v>114</v>
      </c>
      <c r="F37" s="1">
        <v>660</v>
      </c>
      <c r="G37" s="1">
        <v>3</v>
      </c>
      <c r="H37" s="1" t="str">
        <f t="shared" si="5"/>
        <v>L-66003</v>
      </c>
      <c r="I37" s="1" t="str">
        <f t="shared" si="6"/>
        <v>liq-liq-03</v>
      </c>
      <c r="J37" s="1" t="s">
        <v>77</v>
      </c>
      <c r="M37" s="1">
        <v>50</v>
      </c>
      <c r="N37" s="1">
        <v>60.3</v>
      </c>
      <c r="O37" s="1">
        <v>3.6</v>
      </c>
      <c r="P37" s="1">
        <f t="shared" si="7"/>
        <v>2.524968701524822E-3</v>
      </c>
      <c r="Q37" s="1" t="s">
        <v>118</v>
      </c>
      <c r="S37" s="1">
        <f t="shared" si="3"/>
        <v>0</v>
      </c>
      <c r="T37" s="1">
        <f t="shared" si="4"/>
        <v>0</v>
      </c>
    </row>
    <row r="38" spans="1:20" x14ac:dyDescent="0.3">
      <c r="A38" s="1">
        <v>888</v>
      </c>
      <c r="B38" s="1">
        <v>1109</v>
      </c>
      <c r="C38" s="1" t="s">
        <v>102</v>
      </c>
      <c r="D38" s="1">
        <v>6</v>
      </c>
      <c r="E38" s="1" t="s">
        <v>114</v>
      </c>
      <c r="F38" s="1">
        <v>671</v>
      </c>
      <c r="G38" s="1">
        <v>6</v>
      </c>
      <c r="H38" s="1" t="str">
        <f t="shared" si="5"/>
        <v>L-67106</v>
      </c>
      <c r="I38" s="1" t="str">
        <f t="shared" si="6"/>
        <v>liq-liq-06</v>
      </c>
      <c r="J38" s="1" t="s">
        <v>80</v>
      </c>
      <c r="M38" s="1">
        <v>50</v>
      </c>
      <c r="N38" s="1">
        <v>60.3</v>
      </c>
      <c r="O38" s="1">
        <v>3.6</v>
      </c>
      <c r="P38" s="1">
        <f t="shared" si="7"/>
        <v>2.524968701524822E-3</v>
      </c>
      <c r="Q38" s="1" t="s">
        <v>118</v>
      </c>
      <c r="S38" s="1">
        <f t="shared" si="3"/>
        <v>0</v>
      </c>
      <c r="T38" s="1">
        <f t="shared" si="4"/>
        <v>0</v>
      </c>
    </row>
    <row r="39" spans="1:20" x14ac:dyDescent="0.3">
      <c r="A39" s="1">
        <v>823</v>
      </c>
      <c r="B39" s="1">
        <v>1093</v>
      </c>
      <c r="C39" s="1" t="s">
        <v>102</v>
      </c>
      <c r="D39" s="1">
        <v>6</v>
      </c>
      <c r="E39" s="1" t="s">
        <v>114</v>
      </c>
      <c r="F39" s="1">
        <v>670</v>
      </c>
      <c r="G39" s="1">
        <v>5</v>
      </c>
      <c r="H39" s="1" t="str">
        <f t="shared" si="5"/>
        <v>L-67005</v>
      </c>
      <c r="I39" s="1" t="str">
        <f t="shared" si="6"/>
        <v>liq-liq-05</v>
      </c>
      <c r="J39" s="1" t="s">
        <v>79</v>
      </c>
      <c r="M39" s="1">
        <v>100</v>
      </c>
      <c r="N39" s="1">
        <v>114</v>
      </c>
      <c r="O39" s="1">
        <v>4.5</v>
      </c>
      <c r="P39" s="1">
        <f t="shared" si="7"/>
        <v>9.4171203286762539E-3</v>
      </c>
      <c r="Q39" s="1" t="s">
        <v>118</v>
      </c>
      <c r="S39" s="1">
        <f t="shared" si="3"/>
        <v>0</v>
      </c>
      <c r="T39" s="1">
        <f t="shared" si="4"/>
        <v>0</v>
      </c>
    </row>
    <row r="40" spans="1:20" x14ac:dyDescent="0.3">
      <c r="A40" s="1">
        <v>1390</v>
      </c>
      <c r="B40" s="1">
        <v>1248</v>
      </c>
      <c r="C40" s="1" t="s">
        <v>105</v>
      </c>
      <c r="D40" s="1">
        <v>7</v>
      </c>
      <c r="E40" s="1" t="s">
        <v>111</v>
      </c>
      <c r="F40" s="1">
        <v>400</v>
      </c>
      <c r="G40" s="1">
        <v>1</v>
      </c>
      <c r="H40" s="1" t="str">
        <f t="shared" si="5"/>
        <v>P-40001</v>
      </c>
      <c r="I40" s="1" t="str">
        <f t="shared" si="6"/>
        <v>P-400-01</v>
      </c>
      <c r="J40" s="1" t="s">
        <v>44</v>
      </c>
      <c r="M40" s="1">
        <v>80</v>
      </c>
      <c r="N40" s="1">
        <v>88.9</v>
      </c>
      <c r="O40" s="1">
        <v>4</v>
      </c>
      <c r="P40" s="1">
        <f t="shared" si="7"/>
        <v>5.661157815750442E-3</v>
      </c>
      <c r="Q40" s="1" t="s">
        <v>118</v>
      </c>
      <c r="S40" s="1">
        <f t="shared" si="3"/>
        <v>0</v>
      </c>
      <c r="T40" s="1">
        <f t="shared" si="4"/>
        <v>0</v>
      </c>
    </row>
    <row r="41" spans="1:20" x14ac:dyDescent="0.3">
      <c r="A41" s="1">
        <v>1454</v>
      </c>
      <c r="B41" s="1">
        <v>1130</v>
      </c>
      <c r="C41" s="1" t="s">
        <v>105</v>
      </c>
      <c r="D41" s="1">
        <v>7</v>
      </c>
      <c r="E41" s="1" t="s">
        <v>111</v>
      </c>
      <c r="F41" s="1">
        <v>401</v>
      </c>
      <c r="G41" s="1">
        <v>3</v>
      </c>
      <c r="H41" s="1" t="str">
        <f t="shared" si="5"/>
        <v>P-40103</v>
      </c>
      <c r="I41" s="1" t="str">
        <f t="shared" si="6"/>
        <v>P-400-03</v>
      </c>
      <c r="J41" s="1" t="s">
        <v>46</v>
      </c>
      <c r="M41" s="1">
        <v>50</v>
      </c>
      <c r="N41" s="1">
        <v>60.3</v>
      </c>
      <c r="O41" s="1">
        <v>3.6</v>
      </c>
      <c r="P41" s="1">
        <f t="shared" si="7"/>
        <v>2.524968701524822E-3</v>
      </c>
      <c r="Q41" s="1" t="s">
        <v>118</v>
      </c>
      <c r="S41" s="1">
        <f t="shared" si="3"/>
        <v>0</v>
      </c>
      <c r="T41" s="1">
        <f t="shared" si="4"/>
        <v>0</v>
      </c>
    </row>
    <row r="42" spans="1:20" x14ac:dyDescent="0.3">
      <c r="A42" s="1">
        <v>1574</v>
      </c>
      <c r="B42" s="1">
        <v>1150</v>
      </c>
      <c r="C42" s="1" t="s">
        <v>105</v>
      </c>
      <c r="D42" s="1">
        <v>7</v>
      </c>
      <c r="E42" s="1" t="s">
        <v>111</v>
      </c>
      <c r="F42" s="1">
        <v>402</v>
      </c>
      <c r="G42" s="1">
        <v>4</v>
      </c>
      <c r="H42" s="1" t="str">
        <f t="shared" si="5"/>
        <v>P-40204</v>
      </c>
      <c r="I42" s="1" t="str">
        <f t="shared" si="6"/>
        <v>P-400-04</v>
      </c>
      <c r="J42" s="1" t="s">
        <v>47</v>
      </c>
      <c r="M42" s="1">
        <v>50</v>
      </c>
      <c r="N42" s="1">
        <v>60.3</v>
      </c>
      <c r="O42" s="1">
        <v>3.6</v>
      </c>
      <c r="P42" s="1">
        <f t="shared" si="7"/>
        <v>2.524968701524822E-3</v>
      </c>
      <c r="Q42" s="1" t="s">
        <v>118</v>
      </c>
      <c r="S42" s="1">
        <f t="shared" si="3"/>
        <v>0</v>
      </c>
      <c r="T42" s="1">
        <f t="shared" si="4"/>
        <v>0</v>
      </c>
    </row>
    <row r="43" spans="1:20" x14ac:dyDescent="0.3">
      <c r="A43" s="1">
        <v>1416</v>
      </c>
      <c r="B43" s="1">
        <v>1175</v>
      </c>
      <c r="C43" s="1" t="s">
        <v>105</v>
      </c>
      <c r="D43" s="1">
        <v>7</v>
      </c>
      <c r="E43" s="1" t="s">
        <v>111</v>
      </c>
      <c r="F43" s="1">
        <v>401</v>
      </c>
      <c r="G43" s="1">
        <v>2</v>
      </c>
      <c r="H43" s="1" t="str">
        <f t="shared" si="5"/>
        <v>P-40102</v>
      </c>
      <c r="I43" s="1" t="str">
        <f t="shared" si="6"/>
        <v>P-400-02</v>
      </c>
      <c r="J43" s="1" t="s">
        <v>45</v>
      </c>
      <c r="M43" s="1">
        <v>40</v>
      </c>
      <c r="N43" s="1">
        <v>48.3</v>
      </c>
      <c r="O43" s="1">
        <v>3.2</v>
      </c>
      <c r="P43" s="1">
        <f t="shared" si="7"/>
        <v>1.5975077183320431E-3</v>
      </c>
      <c r="Q43" s="1" t="s">
        <v>118</v>
      </c>
      <c r="S43" s="1">
        <f t="shared" si="3"/>
        <v>0</v>
      </c>
      <c r="T43" s="1">
        <f t="shared" si="4"/>
        <v>0</v>
      </c>
    </row>
    <row r="44" spans="1:20" x14ac:dyDescent="0.3">
      <c r="A44" s="1">
        <v>1629</v>
      </c>
      <c r="B44" s="1">
        <v>1132</v>
      </c>
      <c r="C44" s="1" t="s">
        <v>105</v>
      </c>
      <c r="D44" s="1">
        <v>7</v>
      </c>
      <c r="E44" s="1" t="s">
        <v>111</v>
      </c>
      <c r="F44" s="1">
        <v>402</v>
      </c>
      <c r="G44" s="1">
        <v>5</v>
      </c>
      <c r="H44" s="1" t="str">
        <f t="shared" si="5"/>
        <v>P-40205</v>
      </c>
      <c r="I44" s="1" t="str">
        <f t="shared" si="6"/>
        <v>P-400-05</v>
      </c>
      <c r="J44" s="1" t="s">
        <v>48</v>
      </c>
      <c r="M44" s="1">
        <v>40</v>
      </c>
      <c r="N44" s="1">
        <v>48.3</v>
      </c>
      <c r="O44" s="1">
        <v>3.2</v>
      </c>
      <c r="P44" s="1">
        <f t="shared" si="7"/>
        <v>1.5975077183320431E-3</v>
      </c>
      <c r="Q44" s="1" t="s">
        <v>118</v>
      </c>
      <c r="S44" s="1">
        <f t="shared" si="3"/>
        <v>0</v>
      </c>
      <c r="T44" s="1">
        <f t="shared" si="4"/>
        <v>0</v>
      </c>
    </row>
    <row r="45" spans="1:20" x14ac:dyDescent="0.3">
      <c r="A45" s="1">
        <v>1234</v>
      </c>
      <c r="B45" s="1">
        <v>1271</v>
      </c>
      <c r="C45" s="1" t="s">
        <v>106</v>
      </c>
      <c r="D45" s="1">
        <v>8</v>
      </c>
      <c r="E45" s="1" t="s">
        <v>111</v>
      </c>
      <c r="F45" s="1">
        <v>600</v>
      </c>
      <c r="G45" s="1">
        <v>1</v>
      </c>
      <c r="H45" s="1" t="str">
        <f t="shared" si="5"/>
        <v>P-60001</v>
      </c>
      <c r="I45" s="1" t="str">
        <f t="shared" si="6"/>
        <v>P-600-01</v>
      </c>
      <c r="J45" s="1" t="s">
        <v>49</v>
      </c>
      <c r="M45" s="1">
        <v>50</v>
      </c>
      <c r="N45" s="1">
        <v>60.3</v>
      </c>
      <c r="O45" s="1">
        <v>3.6</v>
      </c>
      <c r="P45" s="1">
        <f t="shared" si="7"/>
        <v>2.524968701524822E-3</v>
      </c>
      <c r="Q45" s="1" t="s">
        <v>118</v>
      </c>
      <c r="S45" s="1">
        <f t="shared" si="3"/>
        <v>0</v>
      </c>
      <c r="T45" s="1">
        <f t="shared" si="4"/>
        <v>0</v>
      </c>
    </row>
    <row r="46" spans="1:20" x14ac:dyDescent="0.3">
      <c r="A46" s="1">
        <v>1216</v>
      </c>
      <c r="B46" s="1">
        <v>1184</v>
      </c>
      <c r="C46" s="1" t="s">
        <v>106</v>
      </c>
      <c r="D46" s="1">
        <v>8</v>
      </c>
      <c r="E46" s="1" t="s">
        <v>111</v>
      </c>
      <c r="F46" s="1">
        <v>601</v>
      </c>
      <c r="G46" s="1">
        <v>3</v>
      </c>
      <c r="H46" s="1" t="str">
        <f t="shared" si="5"/>
        <v>P-60103</v>
      </c>
      <c r="I46" s="1" t="str">
        <f t="shared" si="6"/>
        <v>P-600-03</v>
      </c>
      <c r="J46" s="1" t="s">
        <v>51</v>
      </c>
      <c r="M46" s="1">
        <v>50</v>
      </c>
      <c r="N46" s="1">
        <v>60.3</v>
      </c>
      <c r="O46" s="1">
        <v>3.6</v>
      </c>
      <c r="P46" s="1">
        <f t="shared" si="7"/>
        <v>2.524968701524822E-3</v>
      </c>
      <c r="Q46" s="1" t="s">
        <v>118</v>
      </c>
      <c r="S46" s="1">
        <f t="shared" si="3"/>
        <v>0</v>
      </c>
      <c r="T46" s="1">
        <f t="shared" si="4"/>
        <v>0</v>
      </c>
    </row>
    <row r="47" spans="1:20" x14ac:dyDescent="0.3">
      <c r="A47" s="1">
        <v>1217</v>
      </c>
      <c r="B47" s="1">
        <v>1237</v>
      </c>
      <c r="C47" s="1" t="s">
        <v>106</v>
      </c>
      <c r="D47" s="1">
        <v>8</v>
      </c>
      <c r="E47" s="1" t="s">
        <v>111</v>
      </c>
      <c r="F47" s="1">
        <v>601</v>
      </c>
      <c r="G47" s="1">
        <v>2</v>
      </c>
      <c r="H47" s="1" t="str">
        <f t="shared" si="5"/>
        <v>P-60102</v>
      </c>
      <c r="I47" s="1" t="str">
        <f t="shared" si="6"/>
        <v>P-600-02</v>
      </c>
      <c r="J47" s="1" t="s">
        <v>50</v>
      </c>
      <c r="M47" s="1">
        <v>50</v>
      </c>
      <c r="N47" s="1">
        <v>60.3</v>
      </c>
      <c r="O47" s="1">
        <v>3.6</v>
      </c>
      <c r="P47" s="1">
        <f t="shared" si="7"/>
        <v>2.524968701524822E-3</v>
      </c>
      <c r="Q47" s="1" t="s">
        <v>118</v>
      </c>
      <c r="S47" s="1">
        <f t="shared" si="3"/>
        <v>0</v>
      </c>
      <c r="T47" s="1">
        <f t="shared" si="4"/>
        <v>0</v>
      </c>
    </row>
    <row r="48" spans="1:20" x14ac:dyDescent="0.3">
      <c r="A48" s="1">
        <v>1570</v>
      </c>
      <c r="B48" s="1">
        <v>380</v>
      </c>
      <c r="C48" s="1" t="s">
        <v>27</v>
      </c>
      <c r="D48" s="1">
        <v>9</v>
      </c>
      <c r="E48" s="1" t="s">
        <v>94</v>
      </c>
      <c r="F48" s="1">
        <v>150</v>
      </c>
      <c r="G48" s="1">
        <v>5</v>
      </c>
      <c r="H48" s="1" t="str">
        <f t="shared" si="5"/>
        <v>E-15005</v>
      </c>
      <c r="I48" s="1" t="str">
        <f t="shared" si="6"/>
        <v>PEC-05</v>
      </c>
      <c r="J48" s="1" t="s">
        <v>32</v>
      </c>
      <c r="K48" s="1" t="s">
        <v>4</v>
      </c>
      <c r="L48" s="1" t="s">
        <v>8</v>
      </c>
      <c r="M48" s="1">
        <v>200</v>
      </c>
      <c r="N48" s="1">
        <v>220</v>
      </c>
      <c r="P48" s="1">
        <f t="shared" si="7"/>
        <v>3.8013271108436497E-2</v>
      </c>
      <c r="Q48" s="1" t="s">
        <v>118</v>
      </c>
      <c r="S48" s="1">
        <f t="shared" si="3"/>
        <v>0</v>
      </c>
      <c r="T48" s="1">
        <f t="shared" si="4"/>
        <v>0</v>
      </c>
    </row>
    <row r="49" spans="1:20" x14ac:dyDescent="0.3">
      <c r="A49" s="1">
        <v>1600</v>
      </c>
      <c r="B49" s="1">
        <v>446</v>
      </c>
      <c r="C49" s="1" t="s">
        <v>27</v>
      </c>
      <c r="D49" s="1">
        <v>9</v>
      </c>
      <c r="E49" s="1" t="s">
        <v>96</v>
      </c>
      <c r="F49" s="1">
        <v>150</v>
      </c>
      <c r="G49" s="1">
        <v>6</v>
      </c>
      <c r="H49" s="1" t="str">
        <f t="shared" si="5"/>
        <v>ED-15006</v>
      </c>
      <c r="I49" s="1" t="str">
        <f t="shared" si="6"/>
        <v>PEC-06</v>
      </c>
      <c r="J49" s="1" t="s">
        <v>30</v>
      </c>
      <c r="K49" s="1" t="s">
        <v>8</v>
      </c>
      <c r="L49" s="1" t="s">
        <v>9</v>
      </c>
      <c r="M49" s="1">
        <v>50</v>
      </c>
      <c r="N49" s="1">
        <v>60.3</v>
      </c>
      <c r="O49" s="1">
        <v>3.6</v>
      </c>
      <c r="P49" s="1">
        <f t="shared" si="7"/>
        <v>2.524968701524822E-3</v>
      </c>
      <c r="Q49" s="1" t="s">
        <v>118</v>
      </c>
      <c r="S49" s="1">
        <f t="shared" si="3"/>
        <v>0</v>
      </c>
      <c r="T49" s="1">
        <f t="shared" si="4"/>
        <v>0</v>
      </c>
    </row>
    <row r="50" spans="1:20" x14ac:dyDescent="0.3">
      <c r="A50" s="1">
        <v>1553</v>
      </c>
      <c r="B50" s="1">
        <v>345</v>
      </c>
      <c r="C50" s="1" t="s">
        <v>27</v>
      </c>
      <c r="D50" s="1">
        <v>9</v>
      </c>
      <c r="E50" s="1" t="s">
        <v>95</v>
      </c>
      <c r="F50" s="1">
        <v>100</v>
      </c>
      <c r="G50" s="1">
        <v>2</v>
      </c>
      <c r="H50" s="1" t="str">
        <f t="shared" si="5"/>
        <v>EI-10002</v>
      </c>
      <c r="I50" s="1" t="str">
        <f t="shared" si="6"/>
        <v>PEC-02</v>
      </c>
      <c r="J50" s="1" t="s">
        <v>5</v>
      </c>
      <c r="K50" s="1" t="s">
        <v>4</v>
      </c>
      <c r="L50" s="1" t="s">
        <v>5</v>
      </c>
      <c r="M50" s="1">
        <v>125</v>
      </c>
      <c r="N50" s="1">
        <v>141</v>
      </c>
      <c r="O50" s="1">
        <v>5</v>
      </c>
      <c r="P50" s="1">
        <f t="shared" si="7"/>
        <v>1.4526724430199206E-2</v>
      </c>
      <c r="Q50" s="1" t="s">
        <v>118</v>
      </c>
      <c r="R50" s="1">
        <v>1.9</v>
      </c>
      <c r="S50" s="1">
        <f t="shared" si="3"/>
        <v>2.760077641737849E-2</v>
      </c>
      <c r="T50" s="1">
        <f t="shared" si="4"/>
        <v>99.362795102562558</v>
      </c>
    </row>
    <row r="51" spans="1:20" x14ac:dyDescent="0.3">
      <c r="A51" s="1">
        <v>1534</v>
      </c>
      <c r="B51" s="1">
        <v>436</v>
      </c>
      <c r="C51" s="1" t="s">
        <v>27</v>
      </c>
      <c r="D51" s="1">
        <v>9</v>
      </c>
      <c r="E51" s="1" t="s">
        <v>95</v>
      </c>
      <c r="F51" s="1">
        <v>101</v>
      </c>
      <c r="G51" s="1">
        <v>3</v>
      </c>
      <c r="H51" s="1" t="str">
        <f t="shared" si="5"/>
        <v>EI-10103</v>
      </c>
      <c r="I51" s="1" t="str">
        <f t="shared" si="6"/>
        <v>PEC-03</v>
      </c>
      <c r="J51" s="1" t="s">
        <v>28</v>
      </c>
      <c r="K51" s="1" t="s">
        <v>5</v>
      </c>
      <c r="L51" s="1" t="s">
        <v>6</v>
      </c>
      <c r="M51" s="1">
        <v>80</v>
      </c>
      <c r="N51" s="1">
        <v>88.9</v>
      </c>
      <c r="O51" s="1">
        <v>4</v>
      </c>
      <c r="P51" s="1">
        <f t="shared" si="7"/>
        <v>5.661157815750442E-3</v>
      </c>
      <c r="Q51" s="1" t="s">
        <v>118</v>
      </c>
      <c r="R51" s="1">
        <v>3</v>
      </c>
      <c r="S51" s="1">
        <f t="shared" si="3"/>
        <v>1.6983473447251325E-2</v>
      </c>
      <c r="T51" s="1">
        <f t="shared" si="4"/>
        <v>61.140504410104768</v>
      </c>
    </row>
    <row r="52" spans="1:20" x14ac:dyDescent="0.3">
      <c r="A52" s="1">
        <v>1541</v>
      </c>
      <c r="B52" s="1">
        <v>476</v>
      </c>
      <c r="C52" s="1" t="s">
        <v>27</v>
      </c>
      <c r="D52" s="1">
        <v>9</v>
      </c>
      <c r="E52" s="1" t="s">
        <v>95</v>
      </c>
      <c r="F52" s="1">
        <v>102</v>
      </c>
      <c r="G52" s="1">
        <v>4</v>
      </c>
      <c r="H52" s="1" t="str">
        <f t="shared" si="5"/>
        <v>EI-10204</v>
      </c>
      <c r="I52" s="1" t="str">
        <f t="shared" si="6"/>
        <v>PEC-04</v>
      </c>
      <c r="J52" s="1" t="s">
        <v>29</v>
      </c>
      <c r="K52" s="1" t="s">
        <v>5</v>
      </c>
      <c r="L52" s="1" t="s">
        <v>7</v>
      </c>
      <c r="M52" s="1">
        <v>80</v>
      </c>
      <c r="N52" s="1">
        <v>88.9</v>
      </c>
      <c r="O52" s="1">
        <v>4</v>
      </c>
      <c r="P52" s="1">
        <f t="shared" si="7"/>
        <v>5.661157815750442E-3</v>
      </c>
      <c r="Q52" s="1" t="s">
        <v>118</v>
      </c>
      <c r="R52" s="1">
        <v>0.46</v>
      </c>
      <c r="S52" s="1">
        <f t="shared" si="3"/>
        <v>2.6041325952452033E-3</v>
      </c>
      <c r="T52" s="1">
        <f t="shared" si="4"/>
        <v>9.3748773428827317</v>
      </c>
    </row>
    <row r="53" spans="1:20" x14ac:dyDescent="0.3">
      <c r="A53" s="1">
        <v>1702</v>
      </c>
      <c r="B53" s="1">
        <v>463</v>
      </c>
      <c r="C53" s="1" t="s">
        <v>27</v>
      </c>
      <c r="D53" s="1">
        <v>9</v>
      </c>
      <c r="E53" s="1" t="s">
        <v>95</v>
      </c>
      <c r="F53" s="1">
        <v>150</v>
      </c>
      <c r="G53" s="1">
        <v>7</v>
      </c>
      <c r="H53" s="1" t="str">
        <f t="shared" si="5"/>
        <v>EI-15007</v>
      </c>
      <c r="I53" s="1" t="str">
        <f t="shared" si="6"/>
        <v>PEC-07</v>
      </c>
      <c r="J53" s="1" t="s">
        <v>31</v>
      </c>
      <c r="K53" s="1" t="s">
        <v>8</v>
      </c>
      <c r="L53" s="1" t="s">
        <v>10</v>
      </c>
      <c r="M53" s="1">
        <v>50</v>
      </c>
      <c r="N53" s="1">
        <v>60.3</v>
      </c>
      <c r="O53" s="1">
        <v>3.6</v>
      </c>
      <c r="P53" s="1">
        <f t="shared" si="7"/>
        <v>2.524968701524822E-3</v>
      </c>
      <c r="Q53" s="1" t="s">
        <v>118</v>
      </c>
      <c r="R53" s="1">
        <v>3</v>
      </c>
      <c r="S53" s="1">
        <f t="shared" si="3"/>
        <v>7.5749061045744664E-3</v>
      </c>
      <c r="T53" s="1">
        <f t="shared" si="4"/>
        <v>27.269661976468079</v>
      </c>
    </row>
    <row r="54" spans="1:20" x14ac:dyDescent="0.3">
      <c r="A54" s="1">
        <v>1490</v>
      </c>
      <c r="B54" s="1">
        <v>311</v>
      </c>
      <c r="C54" s="1" t="s">
        <v>27</v>
      </c>
      <c r="D54" s="1">
        <v>8</v>
      </c>
      <c r="E54" s="1" t="s">
        <v>94</v>
      </c>
      <c r="F54" s="1">
        <v>100</v>
      </c>
      <c r="G54" s="1">
        <v>1</v>
      </c>
      <c r="H54" s="1" t="str">
        <f t="shared" si="5"/>
        <v>E-10001</v>
      </c>
      <c r="I54" s="1" t="str">
        <f t="shared" si="6"/>
        <v>PEC-01</v>
      </c>
      <c r="J54" s="1" t="s">
        <v>27</v>
      </c>
      <c r="L54" s="1" t="s">
        <v>4</v>
      </c>
      <c r="M54" s="1">
        <v>200</v>
      </c>
      <c r="N54" s="1">
        <v>220</v>
      </c>
      <c r="P54" s="1">
        <f t="shared" si="7"/>
        <v>3.8013271108436497E-2</v>
      </c>
      <c r="Q54" s="1" t="s">
        <v>118</v>
      </c>
      <c r="R54" s="1">
        <v>0.9</v>
      </c>
      <c r="S54" s="1">
        <f t="shared" si="3"/>
        <v>3.421194399759285E-2</v>
      </c>
      <c r="T54" s="1">
        <f t="shared" si="4"/>
        <v>123.16299839133426</v>
      </c>
    </row>
    <row r="55" spans="1:20" x14ac:dyDescent="0.3">
      <c r="C55" s="1" t="s">
        <v>27</v>
      </c>
      <c r="D55" s="1">
        <v>9</v>
      </c>
      <c r="E55" s="1" t="s">
        <v>94</v>
      </c>
      <c r="F55" s="1">
        <v>100</v>
      </c>
      <c r="G55" s="1">
        <v>8</v>
      </c>
      <c r="H55" s="1" t="str">
        <f t="shared" si="5"/>
        <v>E-10008</v>
      </c>
      <c r="I55" s="1" t="str">
        <f t="shared" si="6"/>
        <v>PEC-08</v>
      </c>
      <c r="K55" s="1" t="s">
        <v>6</v>
      </c>
      <c r="L55" s="1" t="s">
        <v>7</v>
      </c>
      <c r="M55" s="1">
        <v>80</v>
      </c>
      <c r="N55" s="1">
        <v>88.9</v>
      </c>
      <c r="O55" s="1">
        <v>4</v>
      </c>
      <c r="P55" s="1">
        <f t="shared" si="7"/>
        <v>5.661157815750442E-3</v>
      </c>
      <c r="Q55" s="1" t="s">
        <v>118</v>
      </c>
      <c r="S55" s="1">
        <f t="shared" si="3"/>
        <v>0</v>
      </c>
      <c r="T55" s="1">
        <f t="shared" si="4"/>
        <v>0</v>
      </c>
    </row>
    <row r="56" spans="1:20" x14ac:dyDescent="0.3">
      <c r="A56" s="1">
        <v>1754</v>
      </c>
      <c r="B56" s="1">
        <v>894.7</v>
      </c>
      <c r="C56" s="1" t="s">
        <v>104</v>
      </c>
      <c r="D56" s="1">
        <v>10</v>
      </c>
      <c r="E56" s="1" t="s">
        <v>111</v>
      </c>
      <c r="F56" s="1">
        <v>200</v>
      </c>
      <c r="G56" s="1">
        <v>1</v>
      </c>
      <c r="H56" s="1" t="str">
        <f t="shared" si="5"/>
        <v>P-20001</v>
      </c>
      <c r="I56" s="1" t="str">
        <f t="shared" si="6"/>
        <v>sil-pel-01</v>
      </c>
      <c r="J56" s="1" t="s">
        <v>33</v>
      </c>
      <c r="L56" s="1" t="s">
        <v>33</v>
      </c>
      <c r="M56" s="1">
        <v>100</v>
      </c>
      <c r="N56" s="1">
        <v>114</v>
      </c>
      <c r="O56" s="1">
        <v>4.5</v>
      </c>
      <c r="P56" s="1">
        <f t="shared" si="7"/>
        <v>9.4171203286762539E-3</v>
      </c>
      <c r="Q56" s="1" t="s">
        <v>118</v>
      </c>
      <c r="S56" s="1">
        <f t="shared" si="3"/>
        <v>0</v>
      </c>
      <c r="T56" s="1">
        <f t="shared" si="4"/>
        <v>0</v>
      </c>
    </row>
    <row r="57" spans="1:20" x14ac:dyDescent="0.3">
      <c r="A57" s="1">
        <v>1739</v>
      </c>
      <c r="B57" s="1">
        <v>957</v>
      </c>
      <c r="C57" s="1" t="s">
        <v>104</v>
      </c>
      <c r="D57" s="1">
        <v>10</v>
      </c>
      <c r="E57" s="1" t="s">
        <v>111</v>
      </c>
      <c r="F57" s="1">
        <v>201</v>
      </c>
      <c r="G57" s="1">
        <v>2</v>
      </c>
      <c r="H57" s="1" t="str">
        <f t="shared" si="5"/>
        <v>P-20102</v>
      </c>
      <c r="I57" s="1" t="str">
        <f t="shared" si="6"/>
        <v>sil-pel-02</v>
      </c>
      <c r="J57" s="1" t="s">
        <v>34</v>
      </c>
      <c r="K57" s="1" t="s">
        <v>33</v>
      </c>
      <c r="L57" s="1" t="s">
        <v>36</v>
      </c>
      <c r="M57" s="1">
        <v>65</v>
      </c>
      <c r="N57" s="1">
        <v>76.099999999999994</v>
      </c>
      <c r="O57" s="1">
        <v>3.6</v>
      </c>
      <c r="P57" s="1">
        <f t="shared" si="7"/>
        <v>4.1282490963578371E-3</v>
      </c>
      <c r="Q57" s="1" t="s">
        <v>118</v>
      </c>
      <c r="S57" s="1">
        <f t="shared" si="3"/>
        <v>0</v>
      </c>
      <c r="T57" s="1">
        <f t="shared" si="4"/>
        <v>0</v>
      </c>
    </row>
    <row r="58" spans="1:20" x14ac:dyDescent="0.3">
      <c r="A58" s="1">
        <v>1748</v>
      </c>
      <c r="B58" s="1">
        <v>918</v>
      </c>
      <c r="C58" s="1" t="s">
        <v>104</v>
      </c>
      <c r="D58" s="1">
        <v>10</v>
      </c>
      <c r="E58" s="1" t="s">
        <v>111</v>
      </c>
      <c r="F58" s="1">
        <v>202</v>
      </c>
      <c r="G58" s="1">
        <v>3</v>
      </c>
      <c r="H58" s="1" t="str">
        <f t="shared" si="5"/>
        <v>P-20203</v>
      </c>
      <c r="I58" s="1" t="str">
        <f t="shared" si="6"/>
        <v>sil-pel-03</v>
      </c>
      <c r="J58" s="1" t="s">
        <v>35</v>
      </c>
      <c r="K58" s="1" t="s">
        <v>33</v>
      </c>
      <c r="L58" s="1" t="s">
        <v>37</v>
      </c>
      <c r="M58" s="1">
        <v>65</v>
      </c>
      <c r="N58" s="1">
        <v>76.099999999999994</v>
      </c>
      <c r="O58" s="1">
        <v>3.6</v>
      </c>
      <c r="P58" s="1">
        <f t="shared" si="7"/>
        <v>4.1282490963578371E-3</v>
      </c>
      <c r="Q58" s="1" t="s">
        <v>118</v>
      </c>
      <c r="S58" s="1">
        <f t="shared" si="3"/>
        <v>0</v>
      </c>
      <c r="T58" s="1">
        <f t="shared" si="4"/>
        <v>0</v>
      </c>
    </row>
    <row r="59" spans="1:20" x14ac:dyDescent="0.3">
      <c r="A59" s="1">
        <v>1887</v>
      </c>
      <c r="B59" s="1">
        <v>897</v>
      </c>
      <c r="C59" s="1" t="s">
        <v>104</v>
      </c>
      <c r="D59" s="1">
        <v>10</v>
      </c>
      <c r="E59" s="1" t="s">
        <v>111</v>
      </c>
      <c r="F59" s="1">
        <v>300</v>
      </c>
      <c r="G59" s="1">
        <v>1</v>
      </c>
      <c r="H59" s="1" t="str">
        <f t="shared" si="5"/>
        <v>P-30001</v>
      </c>
      <c r="I59" s="1" t="str">
        <f t="shared" si="6"/>
        <v>sil-pel-01</v>
      </c>
      <c r="J59" s="1" t="s">
        <v>41</v>
      </c>
      <c r="L59" s="1" t="s">
        <v>41</v>
      </c>
      <c r="M59" s="1">
        <v>65</v>
      </c>
      <c r="N59" s="1">
        <v>76.099999999999994</v>
      </c>
      <c r="O59" s="1">
        <v>3.6</v>
      </c>
      <c r="P59" s="1">
        <f t="shared" si="7"/>
        <v>4.1282490963578371E-3</v>
      </c>
      <c r="Q59" s="1" t="s">
        <v>118</v>
      </c>
      <c r="S59" s="1">
        <f t="shared" si="3"/>
        <v>0</v>
      </c>
      <c r="T59" s="1">
        <f t="shared" si="4"/>
        <v>0</v>
      </c>
    </row>
    <row r="60" spans="1:20" x14ac:dyDescent="0.3">
      <c r="A60" s="1">
        <v>1873</v>
      </c>
      <c r="B60" s="1">
        <v>986</v>
      </c>
      <c r="C60" s="1" t="s">
        <v>104</v>
      </c>
      <c r="D60" s="1">
        <v>10</v>
      </c>
      <c r="E60" s="1" t="s">
        <v>111</v>
      </c>
      <c r="F60" s="1">
        <v>303</v>
      </c>
      <c r="G60" s="1">
        <v>3</v>
      </c>
      <c r="H60" s="1" t="str">
        <f t="shared" si="5"/>
        <v>P-30303</v>
      </c>
      <c r="I60" s="1" t="str">
        <f t="shared" si="6"/>
        <v>sil-pel-03</v>
      </c>
      <c r="J60" s="1" t="s">
        <v>39</v>
      </c>
      <c r="K60" s="1" t="s">
        <v>41</v>
      </c>
      <c r="L60" s="1" t="s">
        <v>43</v>
      </c>
      <c r="M60" s="1">
        <v>50</v>
      </c>
      <c r="N60" s="1">
        <v>60.3</v>
      </c>
      <c r="O60" s="1">
        <v>3.6</v>
      </c>
      <c r="P60" s="1">
        <f t="shared" si="7"/>
        <v>2.524968701524822E-3</v>
      </c>
      <c r="Q60" s="1" t="s">
        <v>118</v>
      </c>
      <c r="S60" s="1">
        <f t="shared" si="3"/>
        <v>0</v>
      </c>
      <c r="T60" s="1">
        <f t="shared" si="4"/>
        <v>0</v>
      </c>
    </row>
    <row r="61" spans="1:20" x14ac:dyDescent="0.3">
      <c r="A61" s="1">
        <v>1872</v>
      </c>
      <c r="B61" s="1">
        <v>944</v>
      </c>
      <c r="C61" s="1" t="s">
        <v>104</v>
      </c>
      <c r="D61" s="1">
        <v>10</v>
      </c>
      <c r="E61" s="1" t="s">
        <v>111</v>
      </c>
      <c r="F61" s="1">
        <v>304</v>
      </c>
      <c r="G61" s="1">
        <v>2</v>
      </c>
      <c r="H61" s="1" t="str">
        <f t="shared" si="5"/>
        <v>P-30402</v>
      </c>
      <c r="I61" s="1" t="str">
        <f t="shared" si="6"/>
        <v>sil-pel-02</v>
      </c>
      <c r="J61" s="1" t="s">
        <v>38</v>
      </c>
      <c r="K61" s="1" t="s">
        <v>41</v>
      </c>
      <c r="L61" s="1" t="s">
        <v>42</v>
      </c>
      <c r="M61" s="1">
        <v>50</v>
      </c>
      <c r="N61" s="1">
        <v>60.3</v>
      </c>
      <c r="O61" s="1">
        <v>3.6</v>
      </c>
      <c r="P61" s="1">
        <f t="shared" si="7"/>
        <v>2.524968701524822E-3</v>
      </c>
      <c r="Q61" s="1" t="s">
        <v>118</v>
      </c>
      <c r="S61" s="1">
        <f t="shared" si="3"/>
        <v>0</v>
      </c>
      <c r="T61" s="1">
        <f t="shared" si="4"/>
        <v>0</v>
      </c>
    </row>
    <row r="62" spans="1:20" x14ac:dyDescent="0.3">
      <c r="A62" s="1">
        <v>1920</v>
      </c>
      <c r="B62" s="1">
        <v>1000</v>
      </c>
      <c r="C62" s="1" t="s">
        <v>104</v>
      </c>
      <c r="D62" s="1">
        <v>10</v>
      </c>
      <c r="E62" s="1" t="s">
        <v>111</v>
      </c>
      <c r="F62" s="1">
        <v>5003</v>
      </c>
      <c r="G62" s="1">
        <v>4</v>
      </c>
      <c r="H62" s="1" t="str">
        <f t="shared" si="5"/>
        <v>P-500304</v>
      </c>
      <c r="I62" s="1" t="str">
        <f t="shared" si="6"/>
        <v>sil-pel-04</v>
      </c>
      <c r="J62" s="1" t="s">
        <v>40</v>
      </c>
      <c r="K62" s="1" t="s">
        <v>41</v>
      </c>
      <c r="L62" s="1" t="s">
        <v>40</v>
      </c>
      <c r="M62" s="1">
        <v>32</v>
      </c>
      <c r="N62" s="1">
        <v>42.2</v>
      </c>
      <c r="O62" s="1">
        <v>3.2</v>
      </c>
      <c r="P62" s="1">
        <f t="shared" si="7"/>
        <v>1.1945906065275189E-3</v>
      </c>
      <c r="Q62" s="1" t="s">
        <v>119</v>
      </c>
      <c r="S62" s="1">
        <f t="shared" si="3"/>
        <v>0</v>
      </c>
      <c r="T62" s="1">
        <f t="shared" si="4"/>
        <v>0</v>
      </c>
    </row>
    <row r="63" spans="1:20" x14ac:dyDescent="0.3">
      <c r="C63" s="1" t="s">
        <v>98</v>
      </c>
      <c r="D63" s="1">
        <v>11</v>
      </c>
      <c r="E63" s="1" t="s">
        <v>115</v>
      </c>
      <c r="F63" s="1">
        <v>700</v>
      </c>
      <c r="G63" s="1">
        <v>2</v>
      </c>
      <c r="H63" s="1" t="str">
        <f t="shared" si="5"/>
        <v>V-70002</v>
      </c>
      <c r="I63" s="1" t="str">
        <f t="shared" si="6"/>
        <v>V-700/V-800-02</v>
      </c>
      <c r="J63" s="1" t="s">
        <v>86</v>
      </c>
      <c r="M63" s="1">
        <v>100</v>
      </c>
      <c r="N63" s="1">
        <v>114</v>
      </c>
      <c r="O63" s="1">
        <v>5</v>
      </c>
      <c r="P63" s="1">
        <f t="shared" si="7"/>
        <v>9.3313155793250824E-3</v>
      </c>
      <c r="Q63" s="1" t="s">
        <v>118</v>
      </c>
      <c r="S63" s="1">
        <f t="shared" si="3"/>
        <v>0</v>
      </c>
      <c r="T63" s="1">
        <f t="shared" si="4"/>
        <v>0</v>
      </c>
    </row>
    <row r="64" spans="1:20" x14ac:dyDescent="0.3">
      <c r="A64" s="1">
        <v>983</v>
      </c>
      <c r="B64" s="1">
        <v>952</v>
      </c>
      <c r="C64" s="1" t="s">
        <v>98</v>
      </c>
      <c r="D64" s="1">
        <v>11</v>
      </c>
      <c r="E64" s="1" t="s">
        <v>115</v>
      </c>
      <c r="F64" s="1">
        <v>700</v>
      </c>
      <c r="G64" s="1">
        <v>1</v>
      </c>
      <c r="H64" s="1" t="str">
        <f t="shared" si="5"/>
        <v>V-70001</v>
      </c>
      <c r="I64" s="1" t="str">
        <f t="shared" si="6"/>
        <v>V-700/V-800-01</v>
      </c>
      <c r="J64" s="1" t="s">
        <v>85</v>
      </c>
      <c r="M64" s="1">
        <v>150</v>
      </c>
      <c r="N64" s="1">
        <v>168.3</v>
      </c>
      <c r="O64" s="1">
        <v>5</v>
      </c>
      <c r="P64" s="1">
        <f t="shared" si="7"/>
        <v>2.0944126429521787E-2</v>
      </c>
      <c r="Q64" s="1" t="s">
        <v>118</v>
      </c>
      <c r="S64" s="1">
        <f t="shared" si="3"/>
        <v>0</v>
      </c>
      <c r="T64" s="1">
        <f t="shared" si="4"/>
        <v>0</v>
      </c>
    </row>
    <row r="65" spans="1:20" x14ac:dyDescent="0.3">
      <c r="C65" s="1" t="s">
        <v>98</v>
      </c>
      <c r="D65" s="1">
        <v>11</v>
      </c>
      <c r="E65" s="1" t="s">
        <v>115</v>
      </c>
      <c r="F65" s="1">
        <v>800</v>
      </c>
      <c r="G65" s="1">
        <v>3</v>
      </c>
      <c r="H65" s="1" t="str">
        <f t="shared" si="5"/>
        <v>V-80003</v>
      </c>
      <c r="I65" s="1" t="str">
        <f t="shared" si="6"/>
        <v>V-700/V-800-03</v>
      </c>
      <c r="J65" s="1" t="s">
        <v>87</v>
      </c>
      <c r="M65" s="1">
        <v>100</v>
      </c>
      <c r="N65" s="1">
        <v>114</v>
      </c>
      <c r="O65" s="1">
        <v>4.5</v>
      </c>
      <c r="P65" s="1">
        <f t="shared" si="7"/>
        <v>9.4171203286762539E-3</v>
      </c>
      <c r="Q65" s="1" t="s">
        <v>118</v>
      </c>
      <c r="S65" s="1">
        <f t="shared" si="3"/>
        <v>0</v>
      </c>
      <c r="T65" s="1">
        <f t="shared" si="4"/>
        <v>0</v>
      </c>
    </row>
    <row r="66" spans="1:20" x14ac:dyDescent="0.3">
      <c r="A66" s="1">
        <v>1035</v>
      </c>
      <c r="B66" s="1">
        <v>1023</v>
      </c>
      <c r="C66" s="1" t="s">
        <v>98</v>
      </c>
      <c r="D66" s="1">
        <v>11</v>
      </c>
      <c r="E66" s="1" t="s">
        <v>115</v>
      </c>
      <c r="F66" s="1">
        <v>710</v>
      </c>
      <c r="G66" s="1">
        <v>4</v>
      </c>
      <c r="H66" s="1" t="str">
        <f t="shared" ref="H66:H71" si="8">E66&amp;"-"&amp;F66&amp;"0"&amp;G66</f>
        <v>V-71004</v>
      </c>
      <c r="I66" s="1" t="str">
        <f t="shared" ref="I66:I71" si="9">C66&amp;"-0"&amp;G66</f>
        <v>V-700/V-800-04</v>
      </c>
      <c r="J66" s="1" t="s">
        <v>81</v>
      </c>
      <c r="M66" s="1">
        <v>65</v>
      </c>
      <c r="N66" s="1">
        <v>73</v>
      </c>
      <c r="O66" s="1">
        <v>3.6</v>
      </c>
      <c r="P66" s="1">
        <f t="shared" ref="P66:P71" si="10">PI()*(((N66-O66)*10^-3)^2/4)</f>
        <v>3.7827602982609342E-3</v>
      </c>
      <c r="Q66" s="1" t="s">
        <v>118</v>
      </c>
      <c r="S66" s="1">
        <f t="shared" si="3"/>
        <v>0</v>
      </c>
      <c r="T66" s="1">
        <f t="shared" si="4"/>
        <v>0</v>
      </c>
    </row>
    <row r="67" spans="1:20" x14ac:dyDescent="0.3">
      <c r="A67" s="1">
        <v>1031</v>
      </c>
      <c r="B67" s="1">
        <v>931</v>
      </c>
      <c r="C67" s="1" t="s">
        <v>98</v>
      </c>
      <c r="D67" s="1">
        <v>11</v>
      </c>
      <c r="E67" s="1" t="s">
        <v>115</v>
      </c>
      <c r="F67" s="1">
        <v>810</v>
      </c>
      <c r="G67" s="1">
        <v>6</v>
      </c>
      <c r="H67" s="1" t="str">
        <f t="shared" si="8"/>
        <v>V-81006</v>
      </c>
      <c r="I67" s="1" t="str">
        <f t="shared" si="9"/>
        <v>V-700/V-800-06</v>
      </c>
      <c r="J67" s="1" t="s">
        <v>83</v>
      </c>
      <c r="M67" s="1">
        <v>65</v>
      </c>
      <c r="N67" s="1">
        <v>76.099999999999994</v>
      </c>
      <c r="O67" s="1">
        <v>3.6</v>
      </c>
      <c r="P67" s="1">
        <f t="shared" si="10"/>
        <v>4.1282490963578371E-3</v>
      </c>
      <c r="Q67" s="1" t="s">
        <v>118</v>
      </c>
      <c r="S67" s="1">
        <f t="shared" ref="S67:S71" si="11">R67*P67</f>
        <v>0</v>
      </c>
      <c r="T67" s="1">
        <f t="shared" ref="T67:T71" si="12">S67*3600</f>
        <v>0</v>
      </c>
    </row>
    <row r="68" spans="1:20" x14ac:dyDescent="0.3">
      <c r="C68" s="1" t="s">
        <v>98</v>
      </c>
      <c r="D68" s="1">
        <v>11</v>
      </c>
      <c r="E68" s="1" t="s">
        <v>115</v>
      </c>
      <c r="F68" s="1">
        <v>710</v>
      </c>
      <c r="G68" s="1">
        <v>5</v>
      </c>
      <c r="H68" s="1" t="str">
        <f t="shared" si="8"/>
        <v>V-71005</v>
      </c>
      <c r="I68" s="1" t="str">
        <f t="shared" si="9"/>
        <v>V-700/V-800-05</v>
      </c>
      <c r="J68" s="1" t="s">
        <v>82</v>
      </c>
      <c r="M68" s="1">
        <v>50</v>
      </c>
      <c r="N68" s="1">
        <v>60.3</v>
      </c>
      <c r="O68" s="1">
        <v>3.6</v>
      </c>
      <c r="P68" s="1">
        <f t="shared" si="10"/>
        <v>2.524968701524822E-3</v>
      </c>
      <c r="Q68" s="1" t="s">
        <v>118</v>
      </c>
      <c r="S68" s="1">
        <f t="shared" si="11"/>
        <v>0</v>
      </c>
      <c r="T68" s="1">
        <f t="shared" si="12"/>
        <v>0</v>
      </c>
    </row>
    <row r="69" spans="1:20" x14ac:dyDescent="0.3">
      <c r="C69" s="1" t="s">
        <v>98</v>
      </c>
      <c r="D69" s="1">
        <v>11</v>
      </c>
      <c r="E69" s="1" t="s">
        <v>115</v>
      </c>
      <c r="F69" s="1">
        <v>810</v>
      </c>
      <c r="G69" s="1">
        <v>7</v>
      </c>
      <c r="H69" s="1" t="str">
        <f t="shared" si="8"/>
        <v>V-81007</v>
      </c>
      <c r="I69" s="1" t="str">
        <f t="shared" si="9"/>
        <v>V-700/V-800-07</v>
      </c>
      <c r="J69" s="1" t="s">
        <v>84</v>
      </c>
      <c r="M69" s="1">
        <v>50</v>
      </c>
      <c r="N69" s="1">
        <v>60.3</v>
      </c>
      <c r="O69" s="1">
        <v>3.6</v>
      </c>
      <c r="P69" s="1">
        <f t="shared" si="10"/>
        <v>2.524968701524822E-3</v>
      </c>
      <c r="Q69" s="1" t="s">
        <v>118</v>
      </c>
      <c r="S69" s="1">
        <f t="shared" si="11"/>
        <v>0</v>
      </c>
      <c r="T69" s="1">
        <f t="shared" si="12"/>
        <v>0</v>
      </c>
    </row>
    <row r="70" spans="1:20" x14ac:dyDescent="0.3">
      <c r="D70" s="1">
        <v>12</v>
      </c>
      <c r="E70" s="1" t="s">
        <v>112</v>
      </c>
      <c r="F70" s="1">
        <v>701</v>
      </c>
      <c r="G70" s="1">
        <v>1</v>
      </c>
      <c r="H70" s="1" t="str">
        <f t="shared" si="8"/>
        <v>R-70101</v>
      </c>
      <c r="I70" s="1" t="str">
        <f t="shared" si="9"/>
        <v>-01</v>
      </c>
      <c r="J70" s="1" t="s">
        <v>88</v>
      </c>
      <c r="M70" s="1">
        <v>100</v>
      </c>
      <c r="N70" s="1">
        <v>114</v>
      </c>
      <c r="O70" s="1">
        <v>4.5</v>
      </c>
      <c r="P70" s="1">
        <f t="shared" si="10"/>
        <v>9.4171203286762539E-3</v>
      </c>
      <c r="Q70" s="1" t="s">
        <v>118</v>
      </c>
      <c r="S70" s="1">
        <f t="shared" si="11"/>
        <v>0</v>
      </c>
      <c r="T70" s="1">
        <f t="shared" si="12"/>
        <v>0</v>
      </c>
    </row>
    <row r="71" spans="1:20" x14ac:dyDescent="0.3">
      <c r="D71" s="1">
        <v>12</v>
      </c>
      <c r="E71" s="1" t="s">
        <v>112</v>
      </c>
      <c r="F71" s="1">
        <v>701</v>
      </c>
      <c r="G71" s="1">
        <v>2</v>
      </c>
      <c r="H71" s="1" t="str">
        <f t="shared" si="8"/>
        <v>R-70102</v>
      </c>
      <c r="I71" s="1" t="str">
        <f t="shared" si="9"/>
        <v>-02</v>
      </c>
      <c r="J71" s="1" t="s">
        <v>88</v>
      </c>
      <c r="M71" s="1">
        <v>80</v>
      </c>
      <c r="N71" s="1">
        <v>88.9</v>
      </c>
      <c r="O71" s="1">
        <v>4</v>
      </c>
      <c r="P71" s="1">
        <f t="shared" si="10"/>
        <v>5.661157815750442E-3</v>
      </c>
      <c r="Q71" s="1" t="s">
        <v>118</v>
      </c>
      <c r="S71" s="1">
        <f t="shared" si="11"/>
        <v>0</v>
      </c>
      <c r="T71" s="1">
        <f t="shared" si="12"/>
        <v>0</v>
      </c>
    </row>
  </sheetData>
  <autoFilter ref="A1:S1" xr:uid="{80D9219E-119C-467C-9531-507D24E0A5C1}"/>
  <sortState xmlns:xlrd2="http://schemas.microsoft.com/office/spreadsheetml/2017/richdata2" ref="A2:S72">
    <sortCondition ref="C40:C72"/>
  </sortState>
  <phoneticPr fontId="1" type="noConversion"/>
  <pageMargins left="0.7" right="0.7" top="0.75" bottom="0.75" header="0.3" footer="0.3"/>
  <pageSetup paperSize="9" scale="6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 Coronado</dc:creator>
  <cp:lastModifiedBy>Arnau Coronado</cp:lastModifiedBy>
  <cp:lastPrinted>2026-03-11T08:48:12Z</cp:lastPrinted>
  <dcterms:created xsi:type="dcterms:W3CDTF">2026-03-03T10:12:00Z</dcterms:created>
  <dcterms:modified xsi:type="dcterms:W3CDTF">2026-04-14T06:49:36Z</dcterms:modified>
</cp:coreProperties>
</file>
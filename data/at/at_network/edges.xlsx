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uCoronado\Documents_local\euromed\sxs\data\at\at_network\"/>
    </mc:Choice>
  </mc:AlternateContent>
  <xr:revisionPtr revIDLastSave="0" documentId="13_ncr:1_{29606938-AC26-4E91-AA8D-A5A5488E107A}" xr6:coauthVersionLast="47" xr6:coauthVersionMax="47" xr10:uidLastSave="{00000000-0000-0000-0000-000000000000}"/>
  <bookViews>
    <workbookView xWindow="-108" yWindow="-108" windowWidth="23256" windowHeight="13896" xr2:uid="{306F75E9-4DFE-4518-8798-1CA0D2BB1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2" i="1" l="1"/>
  <c r="J82" i="1"/>
  <c r="L82" i="1" s="1"/>
  <c r="M82" i="1" s="1"/>
  <c r="I81" i="1"/>
  <c r="J81" i="1" s="1"/>
  <c r="L81" i="1" s="1"/>
  <c r="I55" i="1"/>
  <c r="J55" i="1" s="1"/>
  <c r="L55" i="1" s="1"/>
  <c r="I58" i="1"/>
  <c r="J58" i="1" s="1"/>
  <c r="L58" i="1" s="1"/>
  <c r="I62" i="1"/>
  <c r="J62" i="1" s="1"/>
  <c r="L62" i="1" s="1"/>
  <c r="I61" i="1"/>
  <c r="J61" i="1" s="1"/>
  <c r="L61" i="1" s="1"/>
  <c r="M61" i="1" s="1"/>
  <c r="E62" i="1"/>
  <c r="E61" i="1"/>
  <c r="E58" i="1"/>
  <c r="I53" i="1"/>
  <c r="J53" i="1" s="1"/>
  <c r="L53" i="1" s="1"/>
  <c r="I52" i="1"/>
  <c r="J52" i="1" s="1"/>
  <c r="L52" i="1" s="1"/>
  <c r="E52" i="1"/>
  <c r="E53" i="1"/>
  <c r="E51" i="1"/>
  <c r="F84" i="1"/>
  <c r="F85" i="1"/>
  <c r="F86" i="1"/>
  <c r="F87" i="1"/>
  <c r="F88" i="1"/>
  <c r="F89" i="1"/>
  <c r="F90" i="1"/>
  <c r="F91" i="1"/>
  <c r="F92" i="1"/>
  <c r="F83" i="1"/>
  <c r="I3" i="1"/>
  <c r="J3" i="1" s="1"/>
  <c r="L3" i="1" s="1"/>
  <c r="N3" i="1" s="1"/>
  <c r="O3" i="1" s="1"/>
  <c r="I4" i="1"/>
  <c r="J4" i="1" s="1"/>
  <c r="L4" i="1" s="1"/>
  <c r="N4" i="1" s="1"/>
  <c r="O4" i="1" s="1"/>
  <c r="I5" i="1"/>
  <c r="J5" i="1" s="1"/>
  <c r="L5" i="1" s="1"/>
  <c r="N5" i="1" s="1"/>
  <c r="O5" i="1" s="1"/>
  <c r="I6" i="1"/>
  <c r="J6" i="1" s="1"/>
  <c r="L6" i="1" s="1"/>
  <c r="I7" i="1"/>
  <c r="J7" i="1" s="1"/>
  <c r="L7" i="1" s="1"/>
  <c r="I8" i="1"/>
  <c r="J8" i="1" s="1"/>
  <c r="L8" i="1" s="1"/>
  <c r="I9" i="1"/>
  <c r="J9" i="1" s="1"/>
  <c r="L9" i="1" s="1"/>
  <c r="I10" i="1"/>
  <c r="J10" i="1" s="1"/>
  <c r="L10" i="1" s="1"/>
  <c r="I11" i="1"/>
  <c r="J11" i="1" s="1"/>
  <c r="L11" i="1" s="1"/>
  <c r="I12" i="1"/>
  <c r="J12" i="1" s="1"/>
  <c r="L12" i="1" s="1"/>
  <c r="I13" i="1"/>
  <c r="J13" i="1" s="1"/>
  <c r="L13" i="1" s="1"/>
  <c r="I14" i="1"/>
  <c r="J14" i="1" s="1"/>
  <c r="L14" i="1" s="1"/>
  <c r="I15" i="1"/>
  <c r="J15" i="1" s="1"/>
  <c r="L15" i="1" s="1"/>
  <c r="I16" i="1"/>
  <c r="J16" i="1" s="1"/>
  <c r="L16" i="1" s="1"/>
  <c r="I17" i="1"/>
  <c r="J17" i="1" s="1"/>
  <c r="L17" i="1" s="1"/>
  <c r="I18" i="1"/>
  <c r="J18" i="1" s="1"/>
  <c r="L18" i="1" s="1"/>
  <c r="I19" i="1"/>
  <c r="J19" i="1" s="1"/>
  <c r="L19" i="1" s="1"/>
  <c r="I20" i="1"/>
  <c r="J20" i="1" s="1"/>
  <c r="L20" i="1" s="1"/>
  <c r="I21" i="1"/>
  <c r="J21" i="1" s="1"/>
  <c r="L21" i="1" s="1"/>
  <c r="I22" i="1"/>
  <c r="J22" i="1" s="1"/>
  <c r="L22" i="1" s="1"/>
  <c r="I23" i="1"/>
  <c r="J23" i="1" s="1"/>
  <c r="L23" i="1" s="1"/>
  <c r="I24" i="1"/>
  <c r="J24" i="1" s="1"/>
  <c r="L24" i="1" s="1"/>
  <c r="I25" i="1"/>
  <c r="J25" i="1" s="1"/>
  <c r="L25" i="1" s="1"/>
  <c r="I26" i="1"/>
  <c r="J26" i="1" s="1"/>
  <c r="L26" i="1" s="1"/>
  <c r="I27" i="1"/>
  <c r="J27" i="1" s="1"/>
  <c r="L27" i="1" s="1"/>
  <c r="I28" i="1"/>
  <c r="J28" i="1" s="1"/>
  <c r="L28" i="1" s="1"/>
  <c r="I29" i="1"/>
  <c r="J29" i="1" s="1"/>
  <c r="L29" i="1" s="1"/>
  <c r="I30" i="1"/>
  <c r="J30" i="1" s="1"/>
  <c r="L30" i="1" s="1"/>
  <c r="I31" i="1"/>
  <c r="J31" i="1" s="1"/>
  <c r="L31" i="1" s="1"/>
  <c r="I32" i="1"/>
  <c r="J32" i="1" s="1"/>
  <c r="L32" i="1" s="1"/>
  <c r="I33" i="1"/>
  <c r="J33" i="1" s="1"/>
  <c r="L33" i="1" s="1"/>
  <c r="I34" i="1"/>
  <c r="J34" i="1" s="1"/>
  <c r="L34" i="1" s="1"/>
  <c r="I35" i="1"/>
  <c r="J35" i="1" s="1"/>
  <c r="L35" i="1" s="1"/>
  <c r="I36" i="1"/>
  <c r="J36" i="1" s="1"/>
  <c r="L36" i="1" s="1"/>
  <c r="I37" i="1"/>
  <c r="J37" i="1" s="1"/>
  <c r="L37" i="1" s="1"/>
  <c r="I38" i="1"/>
  <c r="J38" i="1" s="1"/>
  <c r="L38" i="1" s="1"/>
  <c r="I39" i="1"/>
  <c r="J39" i="1" s="1"/>
  <c r="L39" i="1" s="1"/>
  <c r="I40" i="1"/>
  <c r="J40" i="1" s="1"/>
  <c r="L40" i="1" s="1"/>
  <c r="I41" i="1"/>
  <c r="J41" i="1" s="1"/>
  <c r="L41" i="1" s="1"/>
  <c r="I42" i="1"/>
  <c r="J42" i="1" s="1"/>
  <c r="L42" i="1" s="1"/>
  <c r="I43" i="1"/>
  <c r="J43" i="1" s="1"/>
  <c r="L43" i="1" s="1"/>
  <c r="I44" i="1"/>
  <c r="J44" i="1" s="1"/>
  <c r="L44" i="1" s="1"/>
  <c r="I45" i="1"/>
  <c r="J45" i="1" s="1"/>
  <c r="L45" i="1" s="1"/>
  <c r="I46" i="1"/>
  <c r="J46" i="1" s="1"/>
  <c r="L46" i="1" s="1"/>
  <c r="I47" i="1"/>
  <c r="J47" i="1" s="1"/>
  <c r="L47" i="1" s="1"/>
  <c r="I48" i="1"/>
  <c r="J48" i="1" s="1"/>
  <c r="L48" i="1" s="1"/>
  <c r="I49" i="1"/>
  <c r="J49" i="1" s="1"/>
  <c r="L49" i="1" s="1"/>
  <c r="I50" i="1"/>
  <c r="J50" i="1" s="1"/>
  <c r="L50" i="1" s="1"/>
  <c r="I51" i="1"/>
  <c r="J51" i="1" s="1"/>
  <c r="L51" i="1" s="1"/>
  <c r="I54" i="1"/>
  <c r="J54" i="1" s="1"/>
  <c r="L54" i="1" s="1"/>
  <c r="I56" i="1"/>
  <c r="J56" i="1" s="1"/>
  <c r="L56" i="1" s="1"/>
  <c r="I57" i="1"/>
  <c r="J57" i="1" s="1"/>
  <c r="L57" i="1" s="1"/>
  <c r="I59" i="1"/>
  <c r="J59" i="1" s="1"/>
  <c r="L59" i="1" s="1"/>
  <c r="I60" i="1"/>
  <c r="J60" i="1" s="1"/>
  <c r="L60" i="1" s="1"/>
  <c r="I63" i="1"/>
  <c r="J63" i="1" s="1"/>
  <c r="L63" i="1" s="1"/>
  <c r="I64" i="1"/>
  <c r="J64" i="1" s="1"/>
  <c r="L64" i="1" s="1"/>
  <c r="I65" i="1"/>
  <c r="J65" i="1" s="1"/>
  <c r="L65" i="1" s="1"/>
  <c r="I66" i="1"/>
  <c r="J66" i="1" s="1"/>
  <c r="L66" i="1" s="1"/>
  <c r="I67" i="1"/>
  <c r="J67" i="1" s="1"/>
  <c r="L67" i="1" s="1"/>
  <c r="I68" i="1"/>
  <c r="J68" i="1" s="1"/>
  <c r="L68" i="1" s="1"/>
  <c r="I69" i="1"/>
  <c r="J69" i="1" s="1"/>
  <c r="L69" i="1" s="1"/>
  <c r="I70" i="1"/>
  <c r="J70" i="1" s="1"/>
  <c r="L70" i="1" s="1"/>
  <c r="I71" i="1"/>
  <c r="J71" i="1" s="1"/>
  <c r="L71" i="1" s="1"/>
  <c r="I73" i="1"/>
  <c r="J73" i="1" s="1"/>
  <c r="L73" i="1" s="1"/>
  <c r="I74" i="1"/>
  <c r="J74" i="1" s="1"/>
  <c r="L74" i="1" s="1"/>
  <c r="I75" i="1"/>
  <c r="J75" i="1" s="1"/>
  <c r="L75" i="1" s="1"/>
  <c r="I76" i="1"/>
  <c r="J76" i="1" s="1"/>
  <c r="L76" i="1" s="1"/>
  <c r="I77" i="1"/>
  <c r="J77" i="1" s="1"/>
  <c r="L77" i="1" s="1"/>
  <c r="I78" i="1"/>
  <c r="J78" i="1" s="1"/>
  <c r="L78" i="1" s="1"/>
  <c r="I79" i="1"/>
  <c r="J79" i="1" s="1"/>
  <c r="L79" i="1" s="1"/>
  <c r="I80" i="1"/>
  <c r="J80" i="1" s="1"/>
  <c r="L80" i="1" s="1"/>
  <c r="I83" i="1"/>
  <c r="J83" i="1" s="1"/>
  <c r="L83" i="1" s="1"/>
  <c r="I84" i="1"/>
  <c r="J84" i="1" s="1"/>
  <c r="L84" i="1" s="1"/>
  <c r="I85" i="1"/>
  <c r="J85" i="1" s="1"/>
  <c r="L85" i="1" s="1"/>
  <c r="I86" i="1"/>
  <c r="J86" i="1" s="1"/>
  <c r="L86" i="1" s="1"/>
  <c r="I87" i="1"/>
  <c r="J87" i="1" s="1"/>
  <c r="L87" i="1" s="1"/>
  <c r="I88" i="1"/>
  <c r="J88" i="1" s="1"/>
  <c r="L88" i="1" s="1"/>
  <c r="I89" i="1"/>
  <c r="J89" i="1" s="1"/>
  <c r="L89" i="1" s="1"/>
  <c r="I90" i="1"/>
  <c r="J90" i="1" s="1"/>
  <c r="L90" i="1" s="1"/>
  <c r="I91" i="1"/>
  <c r="J91" i="1" s="1"/>
  <c r="L91" i="1" s="1"/>
  <c r="I92" i="1"/>
  <c r="J92" i="1" s="1"/>
  <c r="L92" i="1" s="1"/>
  <c r="I93" i="1"/>
  <c r="J93" i="1" s="1"/>
  <c r="L93" i="1" s="1"/>
  <c r="I94" i="1"/>
  <c r="J94" i="1" s="1"/>
  <c r="L94" i="1" s="1"/>
  <c r="I95" i="1"/>
  <c r="J95" i="1" s="1"/>
  <c r="L95" i="1" s="1"/>
  <c r="I96" i="1"/>
  <c r="J96" i="1" s="1"/>
  <c r="L96" i="1" s="1"/>
  <c r="I97" i="1"/>
  <c r="J97" i="1" s="1"/>
  <c r="L97" i="1" s="1"/>
  <c r="I98" i="1"/>
  <c r="J98" i="1" s="1"/>
  <c r="L98" i="1" s="1"/>
  <c r="I2" i="1"/>
  <c r="J2" i="1" s="1"/>
  <c r="L2" i="1" s="1"/>
  <c r="M81" i="1" l="1"/>
  <c r="N81" i="1"/>
  <c r="O81" i="1" s="1"/>
  <c r="N82" i="1"/>
  <c r="O82" i="1" s="1"/>
  <c r="M55" i="1"/>
  <c r="N55" i="1"/>
  <c r="O55" i="1" s="1"/>
  <c r="M62" i="1"/>
  <c r="N62" i="1"/>
  <c r="O62" i="1" s="1"/>
  <c r="M58" i="1"/>
  <c r="N58" i="1"/>
  <c r="O58" i="1" s="1"/>
  <c r="N61" i="1"/>
  <c r="O61" i="1" s="1"/>
  <c r="M52" i="1"/>
  <c r="N52" i="1"/>
  <c r="O52" i="1" s="1"/>
  <c r="N53" i="1"/>
  <c r="O53" i="1" s="1"/>
  <c r="M53" i="1"/>
  <c r="N2" i="1"/>
  <c r="O2" i="1" s="1"/>
  <c r="M2" i="1"/>
  <c r="M20" i="1"/>
  <c r="N20" i="1"/>
  <c r="O20" i="1" s="1"/>
  <c r="M67" i="1"/>
  <c r="N67" i="1"/>
  <c r="O67" i="1" s="1"/>
  <c r="M47" i="1"/>
  <c r="N47" i="1"/>
  <c r="O47" i="1" s="1"/>
  <c r="M97" i="1"/>
  <c r="N97" i="1"/>
  <c r="O97" i="1" s="1"/>
  <c r="M80" i="1"/>
  <c r="N80" i="1"/>
  <c r="O80" i="1" s="1"/>
  <c r="M45" i="1"/>
  <c r="N45" i="1"/>
  <c r="O45" i="1" s="1"/>
  <c r="M31" i="1"/>
  <c r="N31" i="1"/>
  <c r="O31" i="1" s="1"/>
  <c r="M79" i="1"/>
  <c r="N79" i="1"/>
  <c r="O79" i="1" s="1"/>
  <c r="M30" i="1"/>
  <c r="N30" i="1"/>
  <c r="O30" i="1" s="1"/>
  <c r="M78" i="1"/>
  <c r="N78" i="1"/>
  <c r="O78" i="1" s="1"/>
  <c r="M43" i="1"/>
  <c r="N43" i="1"/>
  <c r="O43" i="1" s="1"/>
  <c r="M77" i="1"/>
  <c r="N77" i="1"/>
  <c r="O77" i="1" s="1"/>
  <c r="M14" i="1"/>
  <c r="N14" i="1"/>
  <c r="O14" i="1" s="1"/>
  <c r="M92" i="1"/>
  <c r="N92" i="1"/>
  <c r="O92" i="1" s="1"/>
  <c r="M41" i="1"/>
  <c r="N41" i="1"/>
  <c r="O41" i="1" s="1"/>
  <c r="M27" i="1"/>
  <c r="N27" i="1"/>
  <c r="O27" i="1" s="1"/>
  <c r="M13" i="1"/>
  <c r="N13" i="1"/>
  <c r="O13" i="1" s="1"/>
  <c r="M91" i="1"/>
  <c r="N91" i="1"/>
  <c r="O91" i="1" s="1"/>
  <c r="M75" i="1"/>
  <c r="N75" i="1"/>
  <c r="O75" i="1" s="1"/>
  <c r="M57" i="1"/>
  <c r="N57" i="1"/>
  <c r="O57" i="1" s="1"/>
  <c r="M40" i="1"/>
  <c r="N40" i="1"/>
  <c r="O40" i="1" s="1"/>
  <c r="M26" i="1"/>
  <c r="N26" i="1"/>
  <c r="O26" i="1" s="1"/>
  <c r="M12" i="1"/>
  <c r="N12" i="1"/>
  <c r="O12" i="1" s="1"/>
  <c r="M85" i="1"/>
  <c r="N85" i="1"/>
  <c r="O85" i="1" s="1"/>
  <c r="M98" i="1"/>
  <c r="N98" i="1"/>
  <c r="O98" i="1" s="1"/>
  <c r="M19" i="1"/>
  <c r="N19" i="1"/>
  <c r="O19" i="1" s="1"/>
  <c r="M46" i="1"/>
  <c r="N46" i="1"/>
  <c r="O46" i="1" s="1"/>
  <c r="M60" i="1"/>
  <c r="N60" i="1"/>
  <c r="O60" i="1" s="1"/>
  <c r="M68" i="1"/>
  <c r="N68" i="1"/>
  <c r="O68" i="1" s="1"/>
  <c r="M34" i="1"/>
  <c r="N34" i="1"/>
  <c r="O34" i="1" s="1"/>
  <c r="M84" i="1"/>
  <c r="N84" i="1"/>
  <c r="O84" i="1" s="1"/>
  <c r="M33" i="1"/>
  <c r="N33" i="1"/>
  <c r="O33" i="1" s="1"/>
  <c r="M83" i="1"/>
  <c r="N83" i="1"/>
  <c r="O83" i="1" s="1"/>
  <c r="M32" i="1"/>
  <c r="N32" i="1"/>
  <c r="O32" i="1" s="1"/>
  <c r="M96" i="1"/>
  <c r="N96" i="1"/>
  <c r="O96" i="1" s="1"/>
  <c r="M65" i="1"/>
  <c r="N65" i="1"/>
  <c r="O65" i="1" s="1"/>
  <c r="M17" i="1"/>
  <c r="N17" i="1"/>
  <c r="O17" i="1" s="1"/>
  <c r="M95" i="1"/>
  <c r="N95" i="1"/>
  <c r="O95" i="1" s="1"/>
  <c r="M16" i="1"/>
  <c r="N16" i="1"/>
  <c r="O16" i="1" s="1"/>
  <c r="M94" i="1"/>
  <c r="N94" i="1"/>
  <c r="O94" i="1" s="1"/>
  <c r="M29" i="1"/>
  <c r="N29" i="1"/>
  <c r="O29" i="1" s="1"/>
  <c r="M93" i="1"/>
  <c r="N93" i="1"/>
  <c r="O93" i="1" s="1"/>
  <c r="M28" i="1"/>
  <c r="N28" i="1"/>
  <c r="O28" i="1" s="1"/>
  <c r="M76" i="1"/>
  <c r="N76" i="1"/>
  <c r="O76" i="1" s="1"/>
  <c r="M90" i="1"/>
  <c r="N90" i="1"/>
  <c r="O90" i="1" s="1"/>
  <c r="M56" i="1"/>
  <c r="N56" i="1"/>
  <c r="O56" i="1" s="1"/>
  <c r="M25" i="1"/>
  <c r="N25" i="1"/>
  <c r="O25" i="1" s="1"/>
  <c r="M38" i="1"/>
  <c r="N38" i="1"/>
  <c r="O38" i="1" s="1"/>
  <c r="M24" i="1"/>
  <c r="N24" i="1"/>
  <c r="O24" i="1" s="1"/>
  <c r="M71" i="1"/>
  <c r="N71" i="1"/>
  <c r="O71" i="1" s="1"/>
  <c r="M23" i="1"/>
  <c r="N23" i="1"/>
  <c r="O23" i="1" s="1"/>
  <c r="N50" i="1"/>
  <c r="O50" i="1" s="1"/>
  <c r="M50" i="1"/>
  <c r="N8" i="1"/>
  <c r="O8" i="1" s="1"/>
  <c r="M8" i="1"/>
  <c r="M48" i="1"/>
  <c r="N48" i="1"/>
  <c r="O48" i="1" s="1"/>
  <c r="N6" i="1"/>
  <c r="O6" i="1" s="1"/>
  <c r="M6" i="1"/>
  <c r="M66" i="1"/>
  <c r="N66" i="1"/>
  <c r="O66" i="1" s="1"/>
  <c r="M18" i="1"/>
  <c r="N18" i="1"/>
  <c r="O18" i="1" s="1"/>
  <c r="M64" i="1"/>
  <c r="N64" i="1"/>
  <c r="O64" i="1" s="1"/>
  <c r="M44" i="1"/>
  <c r="N44" i="1"/>
  <c r="O44" i="1" s="1"/>
  <c r="M63" i="1"/>
  <c r="N63" i="1"/>
  <c r="O63" i="1" s="1"/>
  <c r="M15" i="1"/>
  <c r="N15" i="1"/>
  <c r="O15" i="1" s="1"/>
  <c r="M42" i="1"/>
  <c r="N42" i="1"/>
  <c r="O42" i="1" s="1"/>
  <c r="M59" i="1"/>
  <c r="N59" i="1"/>
  <c r="O59" i="1" s="1"/>
  <c r="M74" i="1"/>
  <c r="N74" i="1"/>
  <c r="O74" i="1" s="1"/>
  <c r="M39" i="1"/>
  <c r="N39" i="1"/>
  <c r="O39" i="1" s="1"/>
  <c r="M11" i="1"/>
  <c r="N11" i="1"/>
  <c r="O11" i="1" s="1"/>
  <c r="M89" i="1"/>
  <c r="N89" i="1"/>
  <c r="O89" i="1" s="1"/>
  <c r="M54" i="1"/>
  <c r="N54" i="1"/>
  <c r="O54" i="1" s="1"/>
  <c r="M10" i="1"/>
  <c r="N10" i="1"/>
  <c r="O10" i="1" s="1"/>
  <c r="N88" i="1"/>
  <c r="O88" i="1" s="1"/>
  <c r="M88" i="1"/>
  <c r="M51" i="1"/>
  <c r="N51" i="1"/>
  <c r="O51" i="1" s="1"/>
  <c r="M37" i="1"/>
  <c r="N37" i="1"/>
  <c r="O37" i="1" s="1"/>
  <c r="M9" i="1"/>
  <c r="N9" i="1"/>
  <c r="O9" i="1" s="1"/>
  <c r="M87" i="1"/>
  <c r="N87" i="1"/>
  <c r="O87" i="1" s="1"/>
  <c r="N70" i="1"/>
  <c r="O70" i="1" s="1"/>
  <c r="M70" i="1"/>
  <c r="N36" i="1"/>
  <c r="O36" i="1" s="1"/>
  <c r="M36" i="1"/>
  <c r="N22" i="1"/>
  <c r="O22" i="1" s="1"/>
  <c r="M22" i="1"/>
  <c r="M86" i="1"/>
  <c r="N86" i="1"/>
  <c r="O86" i="1" s="1"/>
  <c r="M69" i="1"/>
  <c r="N69" i="1"/>
  <c r="O69" i="1" s="1"/>
  <c r="M49" i="1"/>
  <c r="N49" i="1"/>
  <c r="O49" i="1" s="1"/>
  <c r="M35" i="1"/>
  <c r="N35" i="1"/>
  <c r="O35" i="1" s="1"/>
  <c r="M21" i="1"/>
  <c r="N21" i="1"/>
  <c r="O21" i="1" s="1"/>
  <c r="M7" i="1"/>
  <c r="N7" i="1"/>
  <c r="O7" i="1" s="1"/>
  <c r="N73" i="1"/>
  <c r="O73" i="1" s="1"/>
  <c r="M73" i="1"/>
  <c r="M5" i="1"/>
  <c r="M4" i="1"/>
  <c r="M3" i="1"/>
</calcChain>
</file>

<file path=xl/sharedStrings.xml><?xml version="1.0" encoding="utf-8"?>
<sst xmlns="http://schemas.openxmlformats.org/spreadsheetml/2006/main" count="112" uniqueCount="34">
  <si>
    <t>source</t>
  </si>
  <si>
    <t>target</t>
  </si>
  <si>
    <t>cabal</t>
  </si>
  <si>
    <t>nom</t>
  </si>
  <si>
    <t>planta</t>
  </si>
  <si>
    <t>torres</t>
  </si>
  <si>
    <t>distribució</t>
  </si>
  <si>
    <t>grups fred assecat</t>
  </si>
  <si>
    <t>PEC</t>
  </si>
  <si>
    <t>SS-600</t>
  </si>
  <si>
    <t>SS-6000</t>
  </si>
  <si>
    <t>grups fred extracció</t>
  </si>
  <si>
    <t>SS-2100/SS-2200</t>
  </si>
  <si>
    <t>SS-800</t>
  </si>
  <si>
    <t>SS-700B</t>
  </si>
  <si>
    <t>P-600</t>
  </si>
  <si>
    <t>V-700/V-800</t>
  </si>
  <si>
    <t>E-900/E-1000</t>
  </si>
  <si>
    <t>E-800</t>
  </si>
  <si>
    <t>SIL-PEL</t>
  </si>
  <si>
    <t>E-700</t>
  </si>
  <si>
    <t>SS-3000</t>
  </si>
  <si>
    <t>SS-1000</t>
  </si>
  <si>
    <t>DN</t>
  </si>
  <si>
    <t>cabal_m3s</t>
  </si>
  <si>
    <t>cabal_m3h</t>
  </si>
  <si>
    <t>cabal_kgs</t>
  </si>
  <si>
    <t>d_m</t>
  </si>
  <si>
    <t>area_m2</t>
  </si>
  <si>
    <t>vel_ms</t>
  </si>
  <si>
    <t>OD_mm</t>
  </si>
  <si>
    <t>WT_mm</t>
  </si>
  <si>
    <t>cabal_teo-real</t>
  </si>
  <si>
    <t>LIQ-LIQ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</si>
</sst>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035B-20B7-437C-B875-CAFA64730628}">
  <dimension ref="A1:O98"/>
  <sheetViews>
    <sheetView tabSelected="1" topLeftCell="D18" zoomScale="190" zoomScaleNormal="190" workbookViewId="0">
      <selection activeCell="H29" sqref="H29"/>
    </sheetView>
  </sheetViews>
  <sheetFormatPr defaultRowHeight="14.4" x14ac:dyDescent="0.3"/>
  <cols>
    <col min="4" max="4" width="16.33203125" customWidth="1"/>
    <col min="5" max="5" width="8.109375" style="1" customWidth="1"/>
    <col min="12" max="12" width="10.33203125" customWidth="1"/>
    <col min="13" max="13" width="11.33203125" customWidth="1"/>
    <col min="14" max="14" width="10.21875" customWidth="1"/>
    <col min="15" max="15" width="14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4</v>
      </c>
      <c r="E1" s="1" t="s">
        <v>3</v>
      </c>
      <c r="F1" t="s">
        <v>23</v>
      </c>
      <c r="G1" t="s">
        <v>30</v>
      </c>
      <c r="H1" t="s">
        <v>31</v>
      </c>
      <c r="I1" t="s">
        <v>27</v>
      </c>
      <c r="J1" t="s">
        <v>28</v>
      </c>
      <c r="K1" t="s">
        <v>29</v>
      </c>
      <c r="L1" t="s">
        <v>24</v>
      </c>
      <c r="M1" t="s">
        <v>26</v>
      </c>
      <c r="N1" t="s">
        <v>25</v>
      </c>
      <c r="O1" t="s">
        <v>32</v>
      </c>
    </row>
    <row r="2" spans="1:15" x14ac:dyDescent="0.3">
      <c r="A2">
        <v>8105</v>
      </c>
      <c r="B2">
        <v>0</v>
      </c>
      <c r="C2">
        <v>200</v>
      </c>
      <c r="D2" t="s">
        <v>5</v>
      </c>
      <c r="E2" s="1">
        <v>8105</v>
      </c>
      <c r="F2">
        <v>150</v>
      </c>
      <c r="G2">
        <v>168.3</v>
      </c>
      <c r="H2">
        <v>4.8</v>
      </c>
      <c r="I2">
        <f>(G2-2*H2)*10^-3</f>
        <v>0.15870000000000001</v>
      </c>
      <c r="J2">
        <f>PI()*I2^2/4</f>
        <v>1.9780794669897482E-2</v>
      </c>
      <c r="K2">
        <v>3</v>
      </c>
      <c r="L2">
        <f>J2*K2</f>
        <v>5.9342384009692446E-2</v>
      </c>
      <c r="M2">
        <f>L2*1000</f>
        <v>59.342384009692445</v>
      </c>
      <c r="N2">
        <f>L2*3600</f>
        <v>213.63258243489281</v>
      </c>
      <c r="O2">
        <f>N2-C2</f>
        <v>13.632582434892811</v>
      </c>
    </row>
    <row r="3" spans="1:15" x14ac:dyDescent="0.3">
      <c r="A3">
        <v>8107</v>
      </c>
      <c r="B3">
        <v>0</v>
      </c>
      <c r="C3">
        <v>200</v>
      </c>
      <c r="D3" t="s">
        <v>5</v>
      </c>
      <c r="E3" s="1">
        <v>8107</v>
      </c>
      <c r="F3">
        <v>150</v>
      </c>
      <c r="G3">
        <v>168.3</v>
      </c>
      <c r="H3">
        <v>4.8</v>
      </c>
      <c r="I3">
        <f t="shared" ref="I3:I73" si="0">(G3-2*H3)*10^-3</f>
        <v>0.15870000000000001</v>
      </c>
      <c r="J3">
        <f t="shared" ref="J3:J73" si="1">PI()*I3^2/4</f>
        <v>1.9780794669897482E-2</v>
      </c>
      <c r="K3">
        <v>3</v>
      </c>
      <c r="L3">
        <f t="shared" ref="L3:L73" si="2">J3*K3</f>
        <v>5.9342384009692446E-2</v>
      </c>
      <c r="M3">
        <f t="shared" ref="M3:M73" si="3">L3*1000</f>
        <v>59.342384009692445</v>
      </c>
      <c r="N3">
        <f t="shared" ref="N3:N73" si="4">L3*3600</f>
        <v>213.63258243489281</v>
      </c>
      <c r="O3">
        <f t="shared" ref="O3:O73" si="5">N3-C3</f>
        <v>13.632582434892811</v>
      </c>
    </row>
    <row r="4" spans="1:15" x14ac:dyDescent="0.3">
      <c r="A4">
        <v>8106</v>
      </c>
      <c r="B4">
        <v>0</v>
      </c>
      <c r="C4">
        <v>200</v>
      </c>
      <c r="D4" t="s">
        <v>5</v>
      </c>
      <c r="E4" s="1">
        <v>8106</v>
      </c>
      <c r="F4">
        <v>150</v>
      </c>
      <c r="G4">
        <v>168.3</v>
      </c>
      <c r="H4">
        <v>4.8</v>
      </c>
      <c r="I4">
        <f t="shared" si="0"/>
        <v>0.15870000000000001</v>
      </c>
      <c r="J4">
        <f t="shared" si="1"/>
        <v>1.9780794669897482E-2</v>
      </c>
      <c r="K4">
        <v>3</v>
      </c>
      <c r="L4">
        <f t="shared" si="2"/>
        <v>5.9342384009692446E-2</v>
      </c>
      <c r="M4">
        <f t="shared" si="3"/>
        <v>59.342384009692445</v>
      </c>
      <c r="N4">
        <f t="shared" si="4"/>
        <v>213.63258243489281</v>
      </c>
      <c r="O4">
        <f t="shared" si="5"/>
        <v>13.632582434892811</v>
      </c>
    </row>
    <row r="5" spans="1:15" x14ac:dyDescent="0.3">
      <c r="A5">
        <v>8108</v>
      </c>
      <c r="B5">
        <v>0</v>
      </c>
      <c r="C5">
        <v>200</v>
      </c>
      <c r="D5" t="s">
        <v>5</v>
      </c>
      <c r="E5" s="1">
        <v>8108</v>
      </c>
      <c r="F5">
        <v>150</v>
      </c>
      <c r="G5">
        <v>168.3</v>
      </c>
      <c r="H5">
        <v>4.8</v>
      </c>
      <c r="I5">
        <f t="shared" si="0"/>
        <v>0.15870000000000001</v>
      </c>
      <c r="J5">
        <f t="shared" si="1"/>
        <v>1.9780794669897482E-2</v>
      </c>
      <c r="K5">
        <v>3</v>
      </c>
      <c r="L5">
        <f t="shared" si="2"/>
        <v>5.9342384009692446E-2</v>
      </c>
      <c r="M5">
        <f t="shared" si="3"/>
        <v>59.342384009692445</v>
      </c>
      <c r="N5">
        <f t="shared" si="4"/>
        <v>213.63258243489281</v>
      </c>
      <c r="O5">
        <f t="shared" si="5"/>
        <v>13.632582434892811</v>
      </c>
    </row>
    <row r="6" spans="1:15" x14ac:dyDescent="0.3">
      <c r="A6">
        <v>8104</v>
      </c>
      <c r="B6">
        <v>0</v>
      </c>
      <c r="C6">
        <v>200</v>
      </c>
      <c r="D6" t="s">
        <v>5</v>
      </c>
      <c r="E6" s="1">
        <v>8104</v>
      </c>
      <c r="F6">
        <v>150</v>
      </c>
      <c r="G6">
        <v>168.3</v>
      </c>
      <c r="H6">
        <v>4.8</v>
      </c>
      <c r="I6">
        <f t="shared" si="0"/>
        <v>0.15870000000000001</v>
      </c>
      <c r="J6">
        <f t="shared" si="1"/>
        <v>1.9780794669897482E-2</v>
      </c>
      <c r="K6">
        <v>3</v>
      </c>
      <c r="L6">
        <f t="shared" si="2"/>
        <v>5.9342384009692446E-2</v>
      </c>
      <c r="M6">
        <f t="shared" si="3"/>
        <v>59.342384009692445</v>
      </c>
      <c r="N6">
        <f t="shared" si="4"/>
        <v>213.63258243489281</v>
      </c>
      <c r="O6">
        <f t="shared" si="5"/>
        <v>13.632582434892811</v>
      </c>
    </row>
    <row r="7" spans="1:15" x14ac:dyDescent="0.3">
      <c r="A7">
        <v>0</v>
      </c>
      <c r="B7">
        <v>1</v>
      </c>
      <c r="C7">
        <v>1000</v>
      </c>
      <c r="D7" t="s">
        <v>6</v>
      </c>
      <c r="E7" s="2">
        <v>0.01</v>
      </c>
      <c r="F7">
        <v>350</v>
      </c>
      <c r="G7">
        <v>355</v>
      </c>
      <c r="H7">
        <v>5</v>
      </c>
      <c r="I7">
        <f t="shared" si="0"/>
        <v>0.34500000000000003</v>
      </c>
      <c r="J7">
        <f t="shared" si="1"/>
        <v>9.3482016398381301E-2</v>
      </c>
      <c r="K7">
        <v>1</v>
      </c>
      <c r="L7">
        <f t="shared" si="2"/>
        <v>9.3482016398381301E-2</v>
      </c>
      <c r="M7">
        <f t="shared" si="3"/>
        <v>93.482016398381305</v>
      </c>
      <c r="N7">
        <f t="shared" si="4"/>
        <v>336.53525903417267</v>
      </c>
      <c r="O7">
        <f t="shared" si="5"/>
        <v>-663.46474096582733</v>
      </c>
    </row>
    <row r="8" spans="1:15" x14ac:dyDescent="0.3">
      <c r="A8">
        <v>1</v>
      </c>
      <c r="B8">
        <v>2</v>
      </c>
      <c r="C8">
        <v>900</v>
      </c>
      <c r="D8" t="s">
        <v>6</v>
      </c>
      <c r="E8" s="2">
        <v>1.02</v>
      </c>
      <c r="F8">
        <v>350</v>
      </c>
      <c r="G8">
        <v>355</v>
      </c>
      <c r="H8">
        <v>5</v>
      </c>
      <c r="I8">
        <f t="shared" si="0"/>
        <v>0.34500000000000003</v>
      </c>
      <c r="J8">
        <f t="shared" si="1"/>
        <v>9.3482016398381301E-2</v>
      </c>
      <c r="K8">
        <v>1</v>
      </c>
      <c r="L8">
        <f t="shared" si="2"/>
        <v>9.3482016398381301E-2</v>
      </c>
      <c r="M8">
        <f t="shared" si="3"/>
        <v>93.482016398381305</v>
      </c>
      <c r="N8">
        <f t="shared" si="4"/>
        <v>336.53525903417267</v>
      </c>
      <c r="O8">
        <f t="shared" si="5"/>
        <v>-563.46474096582733</v>
      </c>
    </row>
    <row r="9" spans="1:15" x14ac:dyDescent="0.3">
      <c r="A9">
        <v>2</v>
      </c>
      <c r="B9">
        <v>3</v>
      </c>
      <c r="C9">
        <v>890</v>
      </c>
      <c r="D9" t="s">
        <v>6</v>
      </c>
      <c r="E9" s="2">
        <v>2.0299999999999998</v>
      </c>
      <c r="F9">
        <v>350</v>
      </c>
      <c r="G9">
        <v>355</v>
      </c>
      <c r="H9">
        <v>5</v>
      </c>
      <c r="I9">
        <f t="shared" si="0"/>
        <v>0.34500000000000003</v>
      </c>
      <c r="J9">
        <f t="shared" si="1"/>
        <v>9.3482016398381301E-2</v>
      </c>
      <c r="K9">
        <v>1</v>
      </c>
      <c r="L9">
        <f t="shared" si="2"/>
        <v>9.3482016398381301E-2</v>
      </c>
      <c r="M9">
        <f t="shared" si="3"/>
        <v>93.482016398381305</v>
      </c>
      <c r="N9">
        <f t="shared" si="4"/>
        <v>336.53525903417267</v>
      </c>
      <c r="O9">
        <f t="shared" si="5"/>
        <v>-553.46474096582733</v>
      </c>
    </row>
    <row r="10" spans="1:15" x14ac:dyDescent="0.3">
      <c r="A10">
        <v>3</v>
      </c>
      <c r="B10">
        <v>4</v>
      </c>
      <c r="C10">
        <v>880</v>
      </c>
      <c r="D10" t="s">
        <v>6</v>
      </c>
      <c r="E10" s="3">
        <v>3.04</v>
      </c>
      <c r="F10">
        <v>350</v>
      </c>
      <c r="G10">
        <v>355</v>
      </c>
      <c r="H10">
        <v>5</v>
      </c>
      <c r="I10">
        <f t="shared" si="0"/>
        <v>0.34500000000000003</v>
      </c>
      <c r="J10">
        <f t="shared" si="1"/>
        <v>9.3482016398381301E-2</v>
      </c>
      <c r="K10">
        <v>1</v>
      </c>
      <c r="L10">
        <f t="shared" si="2"/>
        <v>9.3482016398381301E-2</v>
      </c>
      <c r="M10">
        <f t="shared" si="3"/>
        <v>93.482016398381305</v>
      </c>
      <c r="N10">
        <f t="shared" si="4"/>
        <v>336.53525903417267</v>
      </c>
      <c r="O10">
        <f t="shared" si="5"/>
        <v>-543.46474096582733</v>
      </c>
    </row>
    <row r="11" spans="1:15" x14ac:dyDescent="0.3">
      <c r="A11">
        <v>4</v>
      </c>
      <c r="B11">
        <v>5</v>
      </c>
      <c r="C11">
        <v>880</v>
      </c>
      <c r="D11" t="s">
        <v>6</v>
      </c>
      <c r="E11" s="3">
        <v>4.05</v>
      </c>
      <c r="F11">
        <v>350</v>
      </c>
      <c r="G11">
        <v>355</v>
      </c>
      <c r="H11">
        <v>5</v>
      </c>
      <c r="I11">
        <f t="shared" si="0"/>
        <v>0.34500000000000003</v>
      </c>
      <c r="J11">
        <f t="shared" si="1"/>
        <v>9.3482016398381301E-2</v>
      </c>
      <c r="K11">
        <v>1</v>
      </c>
      <c r="L11">
        <f t="shared" si="2"/>
        <v>9.3482016398381301E-2</v>
      </c>
      <c r="M11">
        <f t="shared" si="3"/>
        <v>93.482016398381305</v>
      </c>
      <c r="N11">
        <f t="shared" si="4"/>
        <v>336.53525903417267</v>
      </c>
      <c r="O11">
        <f t="shared" si="5"/>
        <v>-543.46474096582733</v>
      </c>
    </row>
    <row r="12" spans="1:15" x14ac:dyDescent="0.3">
      <c r="A12">
        <v>4</v>
      </c>
      <c r="B12">
        <v>22</v>
      </c>
      <c r="C12">
        <v>0</v>
      </c>
      <c r="D12" t="s">
        <v>6</v>
      </c>
      <c r="E12" s="3">
        <v>4.22</v>
      </c>
      <c r="F12">
        <v>80</v>
      </c>
      <c r="G12">
        <v>88.9</v>
      </c>
      <c r="H12">
        <v>4</v>
      </c>
      <c r="I12">
        <f t="shared" si="0"/>
        <v>8.0900000000000014E-2</v>
      </c>
      <c r="J12">
        <f t="shared" si="1"/>
        <v>5.1402817537852556E-3</v>
      </c>
      <c r="K12">
        <v>1</v>
      </c>
      <c r="L12">
        <f t="shared" si="2"/>
        <v>5.1402817537852556E-3</v>
      </c>
      <c r="M12">
        <f t="shared" si="3"/>
        <v>5.1402817537852554</v>
      </c>
      <c r="N12">
        <f t="shared" si="4"/>
        <v>18.505014313626919</v>
      </c>
      <c r="O12">
        <f t="shared" si="5"/>
        <v>18.505014313626919</v>
      </c>
    </row>
    <row r="13" spans="1:15" x14ac:dyDescent="0.3">
      <c r="A13">
        <v>5</v>
      </c>
      <c r="B13">
        <v>6</v>
      </c>
      <c r="C13">
        <v>780</v>
      </c>
      <c r="D13" t="s">
        <v>6</v>
      </c>
      <c r="E13" s="3">
        <v>5.0599999999999996</v>
      </c>
      <c r="F13">
        <v>300</v>
      </c>
      <c r="G13">
        <v>323</v>
      </c>
      <c r="H13">
        <v>5</v>
      </c>
      <c r="I13">
        <f t="shared" si="0"/>
        <v>0.313</v>
      </c>
      <c r="J13">
        <f t="shared" si="1"/>
        <v>7.6944672669884612E-2</v>
      </c>
      <c r="K13">
        <v>1</v>
      </c>
      <c r="L13">
        <f t="shared" si="2"/>
        <v>7.6944672669884612E-2</v>
      </c>
      <c r="M13">
        <f t="shared" si="3"/>
        <v>76.944672669884611</v>
      </c>
      <c r="N13">
        <f t="shared" si="4"/>
        <v>277.00082161158463</v>
      </c>
      <c r="O13">
        <f t="shared" si="5"/>
        <v>-502.99917838841537</v>
      </c>
    </row>
    <row r="14" spans="1:15" x14ac:dyDescent="0.3">
      <c r="A14">
        <v>6</v>
      </c>
      <c r="B14">
        <v>22</v>
      </c>
      <c r="C14">
        <v>20</v>
      </c>
      <c r="D14" t="s">
        <v>6</v>
      </c>
      <c r="E14" s="3">
        <v>6.22</v>
      </c>
      <c r="F14">
        <v>100</v>
      </c>
      <c r="G14">
        <v>114</v>
      </c>
      <c r="H14">
        <v>4.5</v>
      </c>
      <c r="I14">
        <f t="shared" si="0"/>
        <v>0.105</v>
      </c>
      <c r="J14">
        <f t="shared" si="1"/>
        <v>8.6590147514568668E-3</v>
      </c>
      <c r="K14">
        <v>1</v>
      </c>
      <c r="L14">
        <f t="shared" si="2"/>
        <v>8.6590147514568668E-3</v>
      </c>
      <c r="M14">
        <f t="shared" si="3"/>
        <v>8.6590147514568674</v>
      </c>
      <c r="N14">
        <f t="shared" si="4"/>
        <v>31.17245310524472</v>
      </c>
      <c r="O14">
        <f t="shared" si="5"/>
        <v>11.17245310524472</v>
      </c>
    </row>
    <row r="15" spans="1:15" ht="15" customHeight="1" x14ac:dyDescent="0.3">
      <c r="A15">
        <v>6</v>
      </c>
      <c r="B15">
        <v>7</v>
      </c>
      <c r="C15">
        <v>760</v>
      </c>
      <c r="D15" t="s">
        <v>6</v>
      </c>
      <c r="E15" s="3">
        <v>6.07</v>
      </c>
      <c r="F15">
        <v>300</v>
      </c>
      <c r="G15">
        <v>323</v>
      </c>
      <c r="H15">
        <v>5</v>
      </c>
      <c r="I15">
        <f t="shared" si="0"/>
        <v>0.313</v>
      </c>
      <c r="J15">
        <f t="shared" si="1"/>
        <v>7.6944672669884612E-2</v>
      </c>
      <c r="K15">
        <v>1</v>
      </c>
      <c r="L15">
        <f t="shared" si="2"/>
        <v>7.6944672669884612E-2</v>
      </c>
      <c r="M15">
        <f t="shared" si="3"/>
        <v>76.944672669884611</v>
      </c>
      <c r="N15">
        <f t="shared" si="4"/>
        <v>277.00082161158463</v>
      </c>
      <c r="O15">
        <f t="shared" si="5"/>
        <v>-482.99917838841537</v>
      </c>
    </row>
    <row r="16" spans="1:15" x14ac:dyDescent="0.3">
      <c r="A16">
        <v>7</v>
      </c>
      <c r="B16">
        <v>8</v>
      </c>
      <c r="C16">
        <v>660</v>
      </c>
      <c r="D16" t="s">
        <v>6</v>
      </c>
      <c r="E16" s="3">
        <v>7.08</v>
      </c>
      <c r="F16">
        <v>300</v>
      </c>
      <c r="G16">
        <v>323</v>
      </c>
      <c r="H16">
        <v>5</v>
      </c>
      <c r="I16">
        <f t="shared" si="0"/>
        <v>0.313</v>
      </c>
      <c r="J16">
        <f t="shared" si="1"/>
        <v>7.6944672669884612E-2</v>
      </c>
      <c r="K16">
        <v>1</v>
      </c>
      <c r="L16">
        <f t="shared" si="2"/>
        <v>7.6944672669884612E-2</v>
      </c>
      <c r="M16">
        <f t="shared" si="3"/>
        <v>76.944672669884611</v>
      </c>
      <c r="N16">
        <f t="shared" si="4"/>
        <v>277.00082161158463</v>
      </c>
      <c r="O16">
        <f t="shared" si="5"/>
        <v>-382.99917838841537</v>
      </c>
    </row>
    <row r="17" spans="1:15" x14ac:dyDescent="0.3">
      <c r="A17">
        <v>8</v>
      </c>
      <c r="B17">
        <v>9</v>
      </c>
      <c r="C17">
        <v>650</v>
      </c>
      <c r="D17" t="s">
        <v>6</v>
      </c>
      <c r="E17" s="3">
        <v>8.09</v>
      </c>
      <c r="F17">
        <v>300</v>
      </c>
      <c r="G17">
        <v>323</v>
      </c>
      <c r="H17">
        <v>5</v>
      </c>
      <c r="I17">
        <f t="shared" si="0"/>
        <v>0.313</v>
      </c>
      <c r="J17">
        <f t="shared" si="1"/>
        <v>7.6944672669884612E-2</v>
      </c>
      <c r="K17">
        <v>1</v>
      </c>
      <c r="L17">
        <f t="shared" si="2"/>
        <v>7.6944672669884612E-2</v>
      </c>
      <c r="M17">
        <f t="shared" si="3"/>
        <v>76.944672669884611</v>
      </c>
      <c r="N17">
        <f t="shared" si="4"/>
        <v>277.00082161158463</v>
      </c>
      <c r="O17">
        <f t="shared" si="5"/>
        <v>-372.99917838841537</v>
      </c>
    </row>
    <row r="18" spans="1:15" x14ac:dyDescent="0.3">
      <c r="A18">
        <v>9</v>
      </c>
      <c r="B18">
        <v>10</v>
      </c>
      <c r="C18">
        <v>600</v>
      </c>
      <c r="D18" t="s">
        <v>6</v>
      </c>
      <c r="E18" s="3">
        <v>9.1</v>
      </c>
      <c r="F18">
        <v>300</v>
      </c>
      <c r="G18">
        <v>323</v>
      </c>
      <c r="H18">
        <v>5</v>
      </c>
      <c r="I18">
        <f t="shared" si="0"/>
        <v>0.313</v>
      </c>
      <c r="J18">
        <f t="shared" si="1"/>
        <v>7.6944672669884612E-2</v>
      </c>
      <c r="K18">
        <v>1</v>
      </c>
      <c r="L18">
        <f t="shared" si="2"/>
        <v>7.6944672669884612E-2</v>
      </c>
      <c r="M18">
        <f t="shared" si="3"/>
        <v>76.944672669884611</v>
      </c>
      <c r="N18">
        <f t="shared" si="4"/>
        <v>277.00082161158463</v>
      </c>
      <c r="O18">
        <f t="shared" si="5"/>
        <v>-322.99917838841537</v>
      </c>
    </row>
    <row r="19" spans="1:15" x14ac:dyDescent="0.3">
      <c r="A19">
        <v>10</v>
      </c>
      <c r="B19">
        <v>11</v>
      </c>
      <c r="C19">
        <v>300</v>
      </c>
      <c r="D19" t="s">
        <v>6</v>
      </c>
      <c r="E19" s="3">
        <v>10.11</v>
      </c>
      <c r="F19">
        <v>250</v>
      </c>
      <c r="G19">
        <v>273</v>
      </c>
      <c r="H19">
        <v>5</v>
      </c>
      <c r="I19">
        <f t="shared" si="0"/>
        <v>0.26300000000000001</v>
      </c>
      <c r="J19">
        <f t="shared" si="1"/>
        <v>5.4325205564038109E-2</v>
      </c>
      <c r="K19">
        <v>1</v>
      </c>
      <c r="L19">
        <f t="shared" si="2"/>
        <v>5.4325205564038109E-2</v>
      </c>
      <c r="M19">
        <f t="shared" si="3"/>
        <v>54.325205564038107</v>
      </c>
      <c r="N19">
        <f t="shared" si="4"/>
        <v>195.57074003053719</v>
      </c>
      <c r="O19">
        <f t="shared" si="5"/>
        <v>-104.42925996946281</v>
      </c>
    </row>
    <row r="20" spans="1:15" x14ac:dyDescent="0.3">
      <c r="A20">
        <v>11</v>
      </c>
      <c r="B20">
        <v>12</v>
      </c>
      <c r="C20">
        <v>150</v>
      </c>
      <c r="D20" t="s">
        <v>6</v>
      </c>
      <c r="E20" s="3">
        <v>11.12</v>
      </c>
      <c r="F20">
        <v>200</v>
      </c>
      <c r="G20">
        <v>220</v>
      </c>
      <c r="H20">
        <v>5</v>
      </c>
      <c r="I20">
        <f t="shared" si="0"/>
        <v>0.21</v>
      </c>
      <c r="J20">
        <f t="shared" si="1"/>
        <v>3.4636059005827467E-2</v>
      </c>
      <c r="K20">
        <v>1</v>
      </c>
      <c r="L20">
        <f t="shared" si="2"/>
        <v>3.4636059005827467E-2</v>
      </c>
      <c r="M20">
        <f t="shared" si="3"/>
        <v>34.63605900582747</v>
      </c>
      <c r="N20">
        <f t="shared" si="4"/>
        <v>124.68981242097888</v>
      </c>
      <c r="O20">
        <f t="shared" si="5"/>
        <v>-25.310187579021118</v>
      </c>
    </row>
    <row r="21" spans="1:15" x14ac:dyDescent="0.3">
      <c r="A21">
        <v>12</v>
      </c>
      <c r="B21">
        <v>13</v>
      </c>
      <c r="C21">
        <v>125</v>
      </c>
      <c r="D21" t="s">
        <v>6</v>
      </c>
      <c r="E21" s="3">
        <v>12.13</v>
      </c>
      <c r="F21">
        <v>200</v>
      </c>
      <c r="G21">
        <v>220</v>
      </c>
      <c r="H21">
        <v>5</v>
      </c>
      <c r="I21">
        <f t="shared" si="0"/>
        <v>0.21</v>
      </c>
      <c r="J21">
        <f t="shared" si="1"/>
        <v>3.4636059005827467E-2</v>
      </c>
      <c r="K21">
        <v>1</v>
      </c>
      <c r="L21">
        <f t="shared" si="2"/>
        <v>3.4636059005827467E-2</v>
      </c>
      <c r="M21">
        <f t="shared" si="3"/>
        <v>34.63605900582747</v>
      </c>
      <c r="N21">
        <f t="shared" si="4"/>
        <v>124.68981242097888</v>
      </c>
      <c r="O21">
        <f t="shared" si="5"/>
        <v>-0.31018757902111815</v>
      </c>
    </row>
    <row r="22" spans="1:15" x14ac:dyDescent="0.3">
      <c r="A22">
        <v>13</v>
      </c>
      <c r="B22">
        <v>14</v>
      </c>
      <c r="C22">
        <v>25</v>
      </c>
      <c r="D22" t="s">
        <v>6</v>
      </c>
      <c r="E22" s="3">
        <v>13.14</v>
      </c>
      <c r="F22">
        <v>150</v>
      </c>
      <c r="G22">
        <v>165.3</v>
      </c>
      <c r="H22">
        <v>5</v>
      </c>
      <c r="I22">
        <f t="shared" si="0"/>
        <v>0.15530000000000002</v>
      </c>
      <c r="J22">
        <f t="shared" si="1"/>
        <v>1.8942303590654366E-2</v>
      </c>
      <c r="K22">
        <v>1</v>
      </c>
      <c r="L22">
        <f t="shared" si="2"/>
        <v>1.8942303590654366E-2</v>
      </c>
      <c r="M22">
        <f t="shared" si="3"/>
        <v>18.942303590654365</v>
      </c>
      <c r="N22">
        <f t="shared" si="4"/>
        <v>68.192292926355719</v>
      </c>
      <c r="O22">
        <f t="shared" si="5"/>
        <v>43.192292926355719</v>
      </c>
    </row>
    <row r="23" spans="1:15" x14ac:dyDescent="0.3">
      <c r="A23">
        <v>14</v>
      </c>
      <c r="B23">
        <v>15</v>
      </c>
      <c r="C23">
        <v>25</v>
      </c>
      <c r="D23" t="s">
        <v>6</v>
      </c>
      <c r="E23" s="3">
        <v>14.15</v>
      </c>
      <c r="F23">
        <v>150</v>
      </c>
      <c r="G23">
        <v>165.3</v>
      </c>
      <c r="H23">
        <v>5</v>
      </c>
      <c r="I23">
        <f t="shared" si="0"/>
        <v>0.15530000000000002</v>
      </c>
      <c r="J23">
        <f t="shared" si="1"/>
        <v>1.8942303590654366E-2</v>
      </c>
      <c r="K23">
        <v>1</v>
      </c>
      <c r="L23">
        <f t="shared" si="2"/>
        <v>1.8942303590654366E-2</v>
      </c>
      <c r="M23">
        <f t="shared" si="3"/>
        <v>18.942303590654365</v>
      </c>
      <c r="N23">
        <f t="shared" si="4"/>
        <v>68.192292926355719</v>
      </c>
      <c r="O23">
        <f t="shared" si="5"/>
        <v>43.192292926355719</v>
      </c>
    </row>
    <row r="24" spans="1:15" x14ac:dyDescent="0.3">
      <c r="A24">
        <v>15</v>
      </c>
      <c r="B24">
        <v>16</v>
      </c>
      <c r="C24">
        <v>25</v>
      </c>
      <c r="D24" t="s">
        <v>6</v>
      </c>
      <c r="E24" s="3">
        <v>15.16</v>
      </c>
      <c r="F24">
        <v>150</v>
      </c>
      <c r="G24">
        <v>165.3</v>
      </c>
      <c r="H24">
        <v>5</v>
      </c>
      <c r="I24">
        <f t="shared" si="0"/>
        <v>0.15530000000000002</v>
      </c>
      <c r="J24">
        <f t="shared" si="1"/>
        <v>1.8942303590654366E-2</v>
      </c>
      <c r="K24">
        <v>1</v>
      </c>
      <c r="L24">
        <f t="shared" si="2"/>
        <v>1.8942303590654366E-2</v>
      </c>
      <c r="M24">
        <f t="shared" si="3"/>
        <v>18.942303590654365</v>
      </c>
      <c r="N24">
        <f t="shared" si="4"/>
        <v>68.192292926355719</v>
      </c>
      <c r="O24">
        <f t="shared" si="5"/>
        <v>43.192292926355719</v>
      </c>
    </row>
    <row r="25" spans="1:15" x14ac:dyDescent="0.3">
      <c r="A25">
        <v>16</v>
      </c>
      <c r="B25">
        <v>17</v>
      </c>
      <c r="C25">
        <v>10</v>
      </c>
      <c r="D25" t="s">
        <v>6</v>
      </c>
      <c r="E25" s="3">
        <v>16.170000000000002</v>
      </c>
      <c r="F25">
        <v>80</v>
      </c>
      <c r="G25">
        <v>88.9</v>
      </c>
      <c r="H25">
        <v>4</v>
      </c>
      <c r="I25">
        <f t="shared" si="0"/>
        <v>8.0900000000000014E-2</v>
      </c>
      <c r="J25">
        <f t="shared" si="1"/>
        <v>5.1402817537852556E-3</v>
      </c>
      <c r="K25">
        <v>1</v>
      </c>
      <c r="L25">
        <f t="shared" si="2"/>
        <v>5.1402817537852556E-3</v>
      </c>
      <c r="M25">
        <f t="shared" si="3"/>
        <v>5.1402817537852554</v>
      </c>
      <c r="N25">
        <f t="shared" si="4"/>
        <v>18.505014313626919</v>
      </c>
      <c r="O25">
        <f t="shared" si="5"/>
        <v>8.5050143136269192</v>
      </c>
    </row>
    <row r="26" spans="1:15" x14ac:dyDescent="0.3">
      <c r="A26">
        <v>17</v>
      </c>
      <c r="B26">
        <v>18</v>
      </c>
      <c r="C26">
        <v>0</v>
      </c>
      <c r="D26" t="s">
        <v>6</v>
      </c>
      <c r="E26" s="3">
        <v>17.18</v>
      </c>
      <c r="F26">
        <v>80</v>
      </c>
      <c r="G26">
        <v>88.9</v>
      </c>
      <c r="H26">
        <v>4</v>
      </c>
      <c r="I26">
        <f t="shared" si="0"/>
        <v>8.0900000000000014E-2</v>
      </c>
      <c r="J26">
        <f t="shared" si="1"/>
        <v>5.1402817537852556E-3</v>
      </c>
      <c r="K26">
        <v>1</v>
      </c>
      <c r="L26">
        <f t="shared" si="2"/>
        <v>5.1402817537852556E-3</v>
      </c>
      <c r="M26">
        <f t="shared" si="3"/>
        <v>5.1402817537852554</v>
      </c>
      <c r="N26">
        <f t="shared" si="4"/>
        <v>18.505014313626919</v>
      </c>
      <c r="O26">
        <f t="shared" si="5"/>
        <v>18.505014313626919</v>
      </c>
    </row>
    <row r="27" spans="1:15" x14ac:dyDescent="0.3">
      <c r="A27">
        <v>18</v>
      </c>
      <c r="B27">
        <v>21</v>
      </c>
      <c r="C27">
        <v>0</v>
      </c>
      <c r="D27" t="s">
        <v>6</v>
      </c>
      <c r="E27" s="3">
        <v>18.21</v>
      </c>
      <c r="F27">
        <v>80</v>
      </c>
      <c r="G27">
        <v>88.9</v>
      </c>
      <c r="H27">
        <v>4</v>
      </c>
      <c r="I27">
        <f t="shared" si="0"/>
        <v>8.0900000000000014E-2</v>
      </c>
      <c r="J27">
        <f t="shared" si="1"/>
        <v>5.1402817537852556E-3</v>
      </c>
      <c r="K27">
        <v>1</v>
      </c>
      <c r="L27">
        <f t="shared" si="2"/>
        <v>5.1402817537852556E-3</v>
      </c>
      <c r="M27">
        <f t="shared" si="3"/>
        <v>5.1402817537852554</v>
      </c>
      <c r="N27">
        <f t="shared" si="4"/>
        <v>18.505014313626919</v>
      </c>
      <c r="O27">
        <f t="shared" si="5"/>
        <v>18.505014313626919</v>
      </c>
    </row>
    <row r="28" spans="1:15" x14ac:dyDescent="0.3">
      <c r="A28">
        <v>11</v>
      </c>
      <c r="B28">
        <v>19</v>
      </c>
      <c r="C28">
        <v>150</v>
      </c>
      <c r="D28" t="s">
        <v>6</v>
      </c>
      <c r="E28" s="3">
        <v>11.19</v>
      </c>
      <c r="F28">
        <v>250</v>
      </c>
      <c r="G28">
        <v>273</v>
      </c>
      <c r="H28">
        <v>5</v>
      </c>
      <c r="I28">
        <f t="shared" si="0"/>
        <v>0.26300000000000001</v>
      </c>
      <c r="J28">
        <f t="shared" si="1"/>
        <v>5.4325205564038109E-2</v>
      </c>
      <c r="K28">
        <v>1</v>
      </c>
      <c r="L28">
        <f t="shared" si="2"/>
        <v>5.4325205564038109E-2</v>
      </c>
      <c r="M28">
        <f t="shared" si="3"/>
        <v>54.325205564038107</v>
      </c>
      <c r="N28">
        <f t="shared" si="4"/>
        <v>195.57074003053719</v>
      </c>
      <c r="O28">
        <f t="shared" si="5"/>
        <v>45.570740030537195</v>
      </c>
    </row>
    <row r="29" spans="1:15" x14ac:dyDescent="0.3">
      <c r="A29">
        <v>19</v>
      </c>
      <c r="B29">
        <v>20</v>
      </c>
      <c r="C29">
        <v>30</v>
      </c>
      <c r="D29" t="s">
        <v>6</v>
      </c>
      <c r="E29" s="3">
        <v>19.2</v>
      </c>
      <c r="F29">
        <v>200</v>
      </c>
      <c r="G29">
        <v>220</v>
      </c>
      <c r="H29">
        <v>5</v>
      </c>
      <c r="I29">
        <f t="shared" si="0"/>
        <v>0.21</v>
      </c>
      <c r="J29">
        <f t="shared" si="1"/>
        <v>3.4636059005827467E-2</v>
      </c>
      <c r="K29">
        <v>1</v>
      </c>
      <c r="L29">
        <f t="shared" si="2"/>
        <v>3.4636059005827467E-2</v>
      </c>
      <c r="M29">
        <f t="shared" si="3"/>
        <v>34.63605900582747</v>
      </c>
      <c r="N29">
        <f t="shared" si="4"/>
        <v>124.68981242097888</v>
      </c>
      <c r="O29">
        <f t="shared" si="5"/>
        <v>94.689812420978882</v>
      </c>
    </row>
    <row r="30" spans="1:15" x14ac:dyDescent="0.3">
      <c r="A30">
        <v>20</v>
      </c>
      <c r="B30">
        <v>21</v>
      </c>
      <c r="C30">
        <v>10</v>
      </c>
      <c r="D30" t="s">
        <v>6</v>
      </c>
      <c r="E30" s="3">
        <v>20.21</v>
      </c>
      <c r="F30">
        <v>200</v>
      </c>
      <c r="G30">
        <v>220</v>
      </c>
      <c r="H30">
        <v>5</v>
      </c>
      <c r="I30">
        <f t="shared" si="0"/>
        <v>0.21</v>
      </c>
      <c r="J30">
        <f t="shared" si="1"/>
        <v>3.4636059005827467E-2</v>
      </c>
      <c r="K30">
        <v>1</v>
      </c>
      <c r="L30">
        <f t="shared" si="2"/>
        <v>3.4636059005827467E-2</v>
      </c>
      <c r="M30">
        <f t="shared" si="3"/>
        <v>34.63605900582747</v>
      </c>
      <c r="N30">
        <f t="shared" si="4"/>
        <v>124.68981242097888</v>
      </c>
      <c r="O30">
        <f t="shared" si="5"/>
        <v>114.68981242097888</v>
      </c>
    </row>
    <row r="31" spans="1:15" x14ac:dyDescent="0.3">
      <c r="A31">
        <v>22</v>
      </c>
      <c r="B31">
        <v>23</v>
      </c>
      <c r="C31">
        <v>20</v>
      </c>
      <c r="D31" t="s">
        <v>6</v>
      </c>
      <c r="E31" s="3">
        <v>22.23</v>
      </c>
      <c r="F31">
        <v>100</v>
      </c>
      <c r="G31">
        <v>114</v>
      </c>
      <c r="H31">
        <v>4.5</v>
      </c>
      <c r="I31">
        <f t="shared" si="0"/>
        <v>0.105</v>
      </c>
      <c r="J31">
        <f t="shared" si="1"/>
        <v>8.6590147514568668E-3</v>
      </c>
      <c r="K31">
        <v>1</v>
      </c>
      <c r="L31">
        <f t="shared" si="2"/>
        <v>8.6590147514568668E-3</v>
      </c>
      <c r="M31">
        <f t="shared" si="3"/>
        <v>8.6590147514568674</v>
      </c>
      <c r="N31">
        <f t="shared" si="4"/>
        <v>31.17245310524472</v>
      </c>
      <c r="O31">
        <f t="shared" si="5"/>
        <v>11.17245310524472</v>
      </c>
    </row>
    <row r="32" spans="1:15" x14ac:dyDescent="0.3">
      <c r="A32">
        <v>23</v>
      </c>
      <c r="B32">
        <v>24</v>
      </c>
      <c r="C32">
        <v>10</v>
      </c>
      <c r="D32" t="s">
        <v>6</v>
      </c>
      <c r="E32" s="3">
        <v>23.24</v>
      </c>
      <c r="F32">
        <v>100</v>
      </c>
      <c r="G32">
        <v>114</v>
      </c>
      <c r="H32">
        <v>4.5</v>
      </c>
      <c r="I32">
        <f t="shared" si="0"/>
        <v>0.105</v>
      </c>
      <c r="J32">
        <f t="shared" si="1"/>
        <v>8.6590147514568668E-3</v>
      </c>
      <c r="K32">
        <v>1</v>
      </c>
      <c r="L32">
        <f t="shared" si="2"/>
        <v>8.6590147514568668E-3</v>
      </c>
      <c r="M32">
        <f t="shared" si="3"/>
        <v>8.6590147514568674</v>
      </c>
      <c r="N32">
        <f t="shared" si="4"/>
        <v>31.17245310524472</v>
      </c>
      <c r="O32">
        <f t="shared" si="5"/>
        <v>21.17245310524472</v>
      </c>
    </row>
    <row r="33" spans="1:15" x14ac:dyDescent="0.3">
      <c r="A33">
        <v>3</v>
      </c>
      <c r="B33">
        <v>51000</v>
      </c>
      <c r="C33">
        <v>10</v>
      </c>
      <c r="D33" t="s">
        <v>22</v>
      </c>
      <c r="E33" s="1">
        <v>51000</v>
      </c>
      <c r="F33">
        <v>50</v>
      </c>
      <c r="G33">
        <v>60.3</v>
      </c>
      <c r="H33">
        <v>3.6</v>
      </c>
      <c r="I33">
        <f t="shared" si="0"/>
        <v>5.3099999999999994E-2</v>
      </c>
      <c r="J33">
        <f t="shared" si="1"/>
        <v>2.2145165154970788E-3</v>
      </c>
      <c r="K33">
        <v>1</v>
      </c>
      <c r="L33">
        <f t="shared" si="2"/>
        <v>2.2145165154970788E-3</v>
      </c>
      <c r="M33">
        <f t="shared" si="3"/>
        <v>2.214516515497079</v>
      </c>
      <c r="N33">
        <f t="shared" si="4"/>
        <v>7.9722594557894837</v>
      </c>
      <c r="O33">
        <f t="shared" si="5"/>
        <v>-2.0277405442105163</v>
      </c>
    </row>
    <row r="34" spans="1:15" x14ac:dyDescent="0.3">
      <c r="A34">
        <v>2</v>
      </c>
      <c r="B34">
        <v>53000</v>
      </c>
      <c r="C34">
        <v>10</v>
      </c>
      <c r="D34" t="s">
        <v>21</v>
      </c>
      <c r="E34" s="1">
        <v>53000</v>
      </c>
      <c r="F34">
        <v>50</v>
      </c>
      <c r="G34">
        <v>60.3</v>
      </c>
      <c r="H34">
        <v>3.6</v>
      </c>
      <c r="I34">
        <f t="shared" si="0"/>
        <v>5.3099999999999994E-2</v>
      </c>
      <c r="J34">
        <f t="shared" si="1"/>
        <v>2.2145165154970788E-3</v>
      </c>
      <c r="K34">
        <v>1</v>
      </c>
      <c r="L34">
        <f t="shared" si="2"/>
        <v>2.2145165154970788E-3</v>
      </c>
      <c r="M34">
        <f t="shared" si="3"/>
        <v>2.214516515497079</v>
      </c>
      <c r="N34">
        <f t="shared" si="4"/>
        <v>7.9722594557894837</v>
      </c>
      <c r="O34">
        <f t="shared" si="5"/>
        <v>-2.0277405442105163</v>
      </c>
    </row>
    <row r="35" spans="1:15" x14ac:dyDescent="0.3">
      <c r="A35">
        <v>1</v>
      </c>
      <c r="B35">
        <v>1180.01</v>
      </c>
      <c r="C35">
        <v>100</v>
      </c>
      <c r="D35" t="s">
        <v>7</v>
      </c>
      <c r="E35" s="1">
        <v>1180.01</v>
      </c>
      <c r="F35">
        <v>100</v>
      </c>
      <c r="G35">
        <v>114</v>
      </c>
      <c r="H35">
        <v>4.5</v>
      </c>
      <c r="I35">
        <f t="shared" si="0"/>
        <v>0.105</v>
      </c>
      <c r="J35">
        <f t="shared" si="1"/>
        <v>8.6590147514568668E-3</v>
      </c>
      <c r="K35">
        <v>1</v>
      </c>
      <c r="L35">
        <f t="shared" si="2"/>
        <v>8.6590147514568668E-3</v>
      </c>
      <c r="M35">
        <f t="shared" si="3"/>
        <v>8.6590147514568674</v>
      </c>
      <c r="N35">
        <f t="shared" si="4"/>
        <v>31.17245310524472</v>
      </c>
      <c r="O35">
        <f t="shared" si="5"/>
        <v>-68.827546894755272</v>
      </c>
    </row>
    <row r="36" spans="1:15" x14ac:dyDescent="0.3">
      <c r="A36">
        <v>1180.01</v>
      </c>
      <c r="B36">
        <v>1181</v>
      </c>
      <c r="C36">
        <v>0</v>
      </c>
      <c r="D36" t="s">
        <v>7</v>
      </c>
      <c r="E36" s="1">
        <v>1181</v>
      </c>
      <c r="F36">
        <v>65</v>
      </c>
      <c r="G36">
        <v>76.099999999999994</v>
      </c>
      <c r="H36">
        <v>3.6</v>
      </c>
      <c r="I36">
        <f t="shared" si="0"/>
        <v>6.8899999999999989E-2</v>
      </c>
      <c r="J36">
        <f t="shared" si="1"/>
        <v>3.728450015261999E-3</v>
      </c>
      <c r="K36">
        <v>1</v>
      </c>
      <c r="L36">
        <f t="shared" si="2"/>
        <v>3.728450015261999E-3</v>
      </c>
      <c r="M36">
        <f t="shared" si="3"/>
        <v>3.7284500152619988</v>
      </c>
      <c r="N36">
        <f t="shared" si="4"/>
        <v>13.422420054943197</v>
      </c>
      <c r="O36">
        <f t="shared" si="5"/>
        <v>13.422420054943197</v>
      </c>
    </row>
    <row r="37" spans="1:15" x14ac:dyDescent="0.3">
      <c r="A37">
        <v>1180.01</v>
      </c>
      <c r="B37">
        <v>1180.02</v>
      </c>
      <c r="C37">
        <v>50</v>
      </c>
      <c r="D37" t="s">
        <v>7</v>
      </c>
      <c r="E37" s="1">
        <v>1180.02</v>
      </c>
      <c r="F37">
        <v>100</v>
      </c>
      <c r="G37">
        <v>114</v>
      </c>
      <c r="H37">
        <v>4.5</v>
      </c>
      <c r="I37">
        <f t="shared" si="0"/>
        <v>0.105</v>
      </c>
      <c r="J37">
        <f t="shared" si="1"/>
        <v>8.6590147514568668E-3</v>
      </c>
      <c r="K37">
        <v>1</v>
      </c>
      <c r="L37">
        <f t="shared" si="2"/>
        <v>8.6590147514568668E-3</v>
      </c>
      <c r="M37">
        <f t="shared" si="3"/>
        <v>8.6590147514568674</v>
      </c>
      <c r="N37">
        <f t="shared" si="4"/>
        <v>31.17245310524472</v>
      </c>
      <c r="O37">
        <f t="shared" si="5"/>
        <v>-18.82754689475528</v>
      </c>
    </row>
    <row r="38" spans="1:15" x14ac:dyDescent="0.3">
      <c r="A38">
        <v>1180.02</v>
      </c>
      <c r="B38">
        <v>1182</v>
      </c>
      <c r="C38">
        <v>50</v>
      </c>
      <c r="D38" t="s">
        <v>7</v>
      </c>
      <c r="E38" s="1">
        <v>1182</v>
      </c>
      <c r="F38">
        <v>65</v>
      </c>
      <c r="G38">
        <v>76.099999999999994</v>
      </c>
      <c r="H38">
        <v>3.6</v>
      </c>
      <c r="I38">
        <f t="shared" si="0"/>
        <v>6.8899999999999989E-2</v>
      </c>
      <c r="J38">
        <f t="shared" si="1"/>
        <v>3.728450015261999E-3</v>
      </c>
      <c r="K38">
        <v>1</v>
      </c>
      <c r="L38">
        <f t="shared" si="2"/>
        <v>3.728450015261999E-3</v>
      </c>
      <c r="M38">
        <f t="shared" si="3"/>
        <v>3.7284500152619988</v>
      </c>
      <c r="N38">
        <f t="shared" si="4"/>
        <v>13.422420054943197</v>
      </c>
      <c r="O38">
        <f t="shared" si="5"/>
        <v>-36.577579945056804</v>
      </c>
    </row>
    <row r="39" spans="1:15" x14ac:dyDescent="0.3">
      <c r="A39">
        <v>1180.02</v>
      </c>
      <c r="B39">
        <v>1180.03</v>
      </c>
      <c r="C39">
        <v>50</v>
      </c>
      <c r="D39" t="s">
        <v>7</v>
      </c>
      <c r="E39" s="1">
        <v>1180.03</v>
      </c>
      <c r="F39">
        <v>100</v>
      </c>
      <c r="G39">
        <v>114</v>
      </c>
      <c r="H39">
        <v>4.5</v>
      </c>
      <c r="I39">
        <f t="shared" si="0"/>
        <v>0.105</v>
      </c>
      <c r="J39">
        <f t="shared" si="1"/>
        <v>8.6590147514568668E-3</v>
      </c>
      <c r="K39">
        <v>1</v>
      </c>
      <c r="L39">
        <f t="shared" si="2"/>
        <v>8.6590147514568668E-3</v>
      </c>
      <c r="M39">
        <f t="shared" si="3"/>
        <v>8.6590147514568674</v>
      </c>
      <c r="N39">
        <f t="shared" si="4"/>
        <v>31.17245310524472</v>
      </c>
      <c r="O39">
        <f t="shared" si="5"/>
        <v>-18.82754689475528</v>
      </c>
    </row>
    <row r="40" spans="1:15" x14ac:dyDescent="0.3">
      <c r="A40">
        <v>1180.03</v>
      </c>
      <c r="B40">
        <v>1191</v>
      </c>
      <c r="C40">
        <v>0</v>
      </c>
      <c r="D40" t="s">
        <v>7</v>
      </c>
      <c r="E40" s="1">
        <v>1191</v>
      </c>
      <c r="F40">
        <v>65</v>
      </c>
      <c r="G40">
        <v>76.099999999999994</v>
      </c>
      <c r="H40">
        <v>3.6</v>
      </c>
      <c r="I40">
        <f t="shared" si="0"/>
        <v>6.8899999999999989E-2</v>
      </c>
      <c r="J40">
        <f t="shared" si="1"/>
        <v>3.728450015261999E-3</v>
      </c>
      <c r="K40">
        <v>1</v>
      </c>
      <c r="L40">
        <f t="shared" si="2"/>
        <v>3.728450015261999E-3</v>
      </c>
      <c r="M40">
        <f t="shared" si="3"/>
        <v>3.7284500152619988</v>
      </c>
      <c r="N40">
        <f t="shared" si="4"/>
        <v>13.422420054943197</v>
      </c>
      <c r="O40">
        <f t="shared" si="5"/>
        <v>13.422420054943197</v>
      </c>
    </row>
    <row r="41" spans="1:15" x14ac:dyDescent="0.3">
      <c r="A41">
        <v>1180.03</v>
      </c>
      <c r="B41">
        <v>1192</v>
      </c>
      <c r="C41">
        <v>50</v>
      </c>
      <c r="D41" t="s">
        <v>7</v>
      </c>
      <c r="E41" s="1">
        <v>1192</v>
      </c>
      <c r="F41">
        <v>65</v>
      </c>
      <c r="G41">
        <v>76.099999999999994</v>
      </c>
      <c r="H41">
        <v>3.6</v>
      </c>
      <c r="I41">
        <f t="shared" si="0"/>
        <v>6.8899999999999989E-2</v>
      </c>
      <c r="J41">
        <f t="shared" si="1"/>
        <v>3.728450015261999E-3</v>
      </c>
      <c r="K41">
        <v>1</v>
      </c>
      <c r="L41">
        <f t="shared" si="2"/>
        <v>3.728450015261999E-3</v>
      </c>
      <c r="M41">
        <f t="shared" si="3"/>
        <v>3.7284500152619988</v>
      </c>
      <c r="N41">
        <f t="shared" si="4"/>
        <v>13.422420054943197</v>
      </c>
      <c r="O41">
        <f t="shared" si="5"/>
        <v>-36.577579945056804</v>
      </c>
    </row>
    <row r="42" spans="1:15" x14ac:dyDescent="0.3">
      <c r="A42">
        <v>8109</v>
      </c>
      <c r="B42">
        <v>1160.01</v>
      </c>
      <c r="C42">
        <v>100</v>
      </c>
      <c r="D42" t="s">
        <v>11</v>
      </c>
      <c r="E42" s="1">
        <v>1160.01</v>
      </c>
      <c r="F42">
        <v>204</v>
      </c>
      <c r="G42">
        <v>204</v>
      </c>
      <c r="H42">
        <v>2</v>
      </c>
      <c r="I42">
        <f t="shared" si="0"/>
        <v>0.2</v>
      </c>
      <c r="J42">
        <f t="shared" si="1"/>
        <v>3.1415926535897934E-2</v>
      </c>
      <c r="K42">
        <v>1</v>
      </c>
      <c r="L42">
        <f t="shared" si="2"/>
        <v>3.1415926535897934E-2</v>
      </c>
      <c r="M42">
        <f t="shared" si="3"/>
        <v>31.415926535897935</v>
      </c>
      <c r="N42">
        <f t="shared" si="4"/>
        <v>113.09733552923257</v>
      </c>
      <c r="O42">
        <f t="shared" si="5"/>
        <v>13.097335529232566</v>
      </c>
    </row>
    <row r="43" spans="1:15" x14ac:dyDescent="0.3">
      <c r="A43">
        <v>1160.01</v>
      </c>
      <c r="B43">
        <v>1160</v>
      </c>
      <c r="C43">
        <v>50</v>
      </c>
      <c r="D43" t="s">
        <v>11</v>
      </c>
      <c r="E43" s="1">
        <v>1160</v>
      </c>
      <c r="F43">
        <v>129</v>
      </c>
      <c r="G43">
        <v>129</v>
      </c>
      <c r="H43">
        <v>2</v>
      </c>
      <c r="I43">
        <f t="shared" si="0"/>
        <v>0.125</v>
      </c>
      <c r="J43">
        <f t="shared" si="1"/>
        <v>1.2271846303085129E-2</v>
      </c>
      <c r="K43">
        <v>1</v>
      </c>
      <c r="L43">
        <f t="shared" si="2"/>
        <v>1.2271846303085129E-2</v>
      </c>
      <c r="M43">
        <f t="shared" si="3"/>
        <v>12.271846303085129</v>
      </c>
      <c r="N43">
        <f t="shared" si="4"/>
        <v>44.178646691106465</v>
      </c>
      <c r="O43">
        <f t="shared" si="5"/>
        <v>-5.821353308893535</v>
      </c>
    </row>
    <row r="44" spans="1:15" x14ac:dyDescent="0.3">
      <c r="A44">
        <v>1160.01</v>
      </c>
      <c r="B44">
        <v>1170</v>
      </c>
      <c r="C44">
        <v>50</v>
      </c>
      <c r="D44" t="s">
        <v>11</v>
      </c>
      <c r="E44" s="1">
        <v>1170</v>
      </c>
      <c r="F44">
        <v>100</v>
      </c>
      <c r="G44">
        <v>114</v>
      </c>
      <c r="H44">
        <v>2</v>
      </c>
      <c r="I44">
        <f t="shared" si="0"/>
        <v>0.11</v>
      </c>
      <c r="J44">
        <f t="shared" si="1"/>
        <v>9.5033177771091243E-3</v>
      </c>
      <c r="K44">
        <v>1</v>
      </c>
      <c r="L44">
        <f t="shared" si="2"/>
        <v>9.5033177771091243E-3</v>
      </c>
      <c r="M44">
        <f t="shared" si="3"/>
        <v>9.5033177771091246</v>
      </c>
      <c r="N44">
        <f t="shared" si="4"/>
        <v>34.211943997592847</v>
      </c>
      <c r="O44">
        <f t="shared" si="5"/>
        <v>-15.788056002407153</v>
      </c>
    </row>
    <row r="45" spans="1:15" x14ac:dyDescent="0.3">
      <c r="A45">
        <v>5</v>
      </c>
      <c r="B45">
        <v>3100.01</v>
      </c>
      <c r="C45">
        <v>100</v>
      </c>
      <c r="D45" t="s">
        <v>8</v>
      </c>
      <c r="E45" s="1">
        <v>3100.01</v>
      </c>
      <c r="F45">
        <v>200</v>
      </c>
      <c r="G45">
        <v>220</v>
      </c>
      <c r="H45">
        <v>5</v>
      </c>
      <c r="I45">
        <f t="shared" si="0"/>
        <v>0.21</v>
      </c>
      <c r="J45">
        <f t="shared" si="1"/>
        <v>3.4636059005827467E-2</v>
      </c>
      <c r="K45">
        <v>1</v>
      </c>
      <c r="L45">
        <f t="shared" si="2"/>
        <v>3.4636059005827467E-2</v>
      </c>
      <c r="M45">
        <f t="shared" si="3"/>
        <v>34.63605900582747</v>
      </c>
      <c r="N45">
        <f t="shared" si="4"/>
        <v>124.68981242097888</v>
      </c>
      <c r="O45">
        <f t="shared" si="5"/>
        <v>24.689812420978882</v>
      </c>
    </row>
    <row r="46" spans="1:15" x14ac:dyDescent="0.3">
      <c r="A46">
        <v>3100.01</v>
      </c>
      <c r="B46">
        <v>3100.02</v>
      </c>
      <c r="C46">
        <v>20</v>
      </c>
      <c r="D46" t="s">
        <v>8</v>
      </c>
      <c r="E46" s="1">
        <v>3100.02</v>
      </c>
      <c r="F46">
        <v>200</v>
      </c>
      <c r="G46">
        <v>220</v>
      </c>
      <c r="H46">
        <v>5</v>
      </c>
      <c r="I46">
        <f t="shared" si="0"/>
        <v>0.21</v>
      </c>
      <c r="J46">
        <f t="shared" si="1"/>
        <v>3.4636059005827467E-2</v>
      </c>
      <c r="K46">
        <v>1</v>
      </c>
      <c r="L46">
        <f t="shared" si="2"/>
        <v>3.4636059005827467E-2</v>
      </c>
      <c r="M46">
        <f t="shared" si="3"/>
        <v>34.63605900582747</v>
      </c>
      <c r="N46">
        <f t="shared" si="4"/>
        <v>124.68981242097888</v>
      </c>
      <c r="O46">
        <f t="shared" si="5"/>
        <v>104.68981242097888</v>
      </c>
    </row>
    <row r="47" spans="1:15" x14ac:dyDescent="0.3">
      <c r="A47">
        <v>3100.01</v>
      </c>
      <c r="B47">
        <v>3100.03</v>
      </c>
      <c r="C47">
        <v>80</v>
      </c>
      <c r="D47" t="s">
        <v>8</v>
      </c>
      <c r="E47" s="1">
        <v>3100.03</v>
      </c>
      <c r="F47">
        <v>125</v>
      </c>
      <c r="G47">
        <v>141</v>
      </c>
      <c r="H47">
        <v>5</v>
      </c>
      <c r="I47">
        <f t="shared" si="0"/>
        <v>0.13100000000000001</v>
      </c>
      <c r="J47">
        <f t="shared" si="1"/>
        <v>1.3478217882063612E-2</v>
      </c>
      <c r="K47">
        <v>1</v>
      </c>
      <c r="L47">
        <f t="shared" si="2"/>
        <v>1.3478217882063612E-2</v>
      </c>
      <c r="M47">
        <f t="shared" si="3"/>
        <v>13.478217882063612</v>
      </c>
      <c r="N47">
        <f t="shared" si="4"/>
        <v>48.521584375429001</v>
      </c>
      <c r="O47">
        <f t="shared" si="5"/>
        <v>-31.478415624570999</v>
      </c>
    </row>
    <row r="48" spans="1:15" x14ac:dyDescent="0.3">
      <c r="A48">
        <v>3100.02</v>
      </c>
      <c r="B48">
        <v>3150</v>
      </c>
      <c r="C48">
        <v>20</v>
      </c>
      <c r="D48" t="s">
        <v>8</v>
      </c>
      <c r="E48" s="1">
        <v>3150</v>
      </c>
      <c r="F48">
        <v>50</v>
      </c>
      <c r="G48">
        <v>60.3</v>
      </c>
      <c r="H48">
        <v>3.6</v>
      </c>
      <c r="I48">
        <f t="shared" si="0"/>
        <v>5.3099999999999994E-2</v>
      </c>
      <c r="J48">
        <f t="shared" si="1"/>
        <v>2.2145165154970788E-3</v>
      </c>
      <c r="K48">
        <v>1</v>
      </c>
      <c r="L48">
        <f t="shared" si="2"/>
        <v>2.2145165154970788E-3</v>
      </c>
      <c r="M48">
        <f t="shared" si="3"/>
        <v>2.214516515497079</v>
      </c>
      <c r="N48">
        <f t="shared" si="4"/>
        <v>7.9722594557894837</v>
      </c>
      <c r="O48">
        <f t="shared" si="5"/>
        <v>-12.027740544210516</v>
      </c>
    </row>
    <row r="49" spans="1:15" x14ac:dyDescent="0.3">
      <c r="A49">
        <v>3100.03</v>
      </c>
      <c r="B49">
        <v>3101</v>
      </c>
      <c r="C49">
        <v>40</v>
      </c>
      <c r="D49" t="s">
        <v>8</v>
      </c>
      <c r="E49" s="1">
        <v>3101</v>
      </c>
      <c r="F49">
        <v>80</v>
      </c>
      <c r="G49">
        <v>88.9</v>
      </c>
      <c r="H49">
        <v>4</v>
      </c>
      <c r="I49">
        <f t="shared" si="0"/>
        <v>8.0900000000000014E-2</v>
      </c>
      <c r="J49">
        <f t="shared" si="1"/>
        <v>5.1402817537852556E-3</v>
      </c>
      <c r="K49">
        <v>1</v>
      </c>
      <c r="L49">
        <f t="shared" si="2"/>
        <v>5.1402817537852556E-3</v>
      </c>
      <c r="M49">
        <f t="shared" si="3"/>
        <v>5.1402817537852554</v>
      </c>
      <c r="N49">
        <f t="shared" si="4"/>
        <v>18.505014313626919</v>
      </c>
      <c r="O49">
        <f t="shared" si="5"/>
        <v>-21.494985686373081</v>
      </c>
    </row>
    <row r="50" spans="1:15" x14ac:dyDescent="0.3">
      <c r="A50">
        <v>3100.03</v>
      </c>
      <c r="B50">
        <v>3102</v>
      </c>
      <c r="C50">
        <v>40</v>
      </c>
      <c r="D50" t="s">
        <v>8</v>
      </c>
      <c r="E50" s="1">
        <v>3102</v>
      </c>
      <c r="F50">
        <v>80</v>
      </c>
      <c r="G50">
        <v>88.9</v>
      </c>
      <c r="H50">
        <v>4</v>
      </c>
      <c r="I50">
        <f t="shared" si="0"/>
        <v>8.0900000000000014E-2</v>
      </c>
      <c r="J50">
        <f t="shared" si="1"/>
        <v>5.1402817537852556E-3</v>
      </c>
      <c r="K50">
        <v>1</v>
      </c>
      <c r="L50">
        <f t="shared" si="2"/>
        <v>5.1402817537852556E-3</v>
      </c>
      <c r="M50">
        <f t="shared" si="3"/>
        <v>5.1402817537852554</v>
      </c>
      <c r="N50">
        <f t="shared" si="4"/>
        <v>18.505014313626919</v>
      </c>
      <c r="O50">
        <f t="shared" si="5"/>
        <v>-21.494985686373081</v>
      </c>
    </row>
    <row r="51" spans="1:15" x14ac:dyDescent="0.3">
      <c r="A51">
        <v>23</v>
      </c>
      <c r="B51">
        <v>5600.01</v>
      </c>
      <c r="C51">
        <v>10</v>
      </c>
      <c r="D51" t="s">
        <v>9</v>
      </c>
      <c r="E51" s="1">
        <f>B51</f>
        <v>5600.01</v>
      </c>
      <c r="F51">
        <v>80</v>
      </c>
      <c r="G51">
        <v>88.9</v>
      </c>
      <c r="H51">
        <v>4</v>
      </c>
      <c r="I51">
        <f t="shared" si="0"/>
        <v>8.0900000000000014E-2</v>
      </c>
      <c r="J51">
        <f t="shared" si="1"/>
        <v>5.1402817537852556E-3</v>
      </c>
      <c r="K51">
        <v>1</v>
      </c>
      <c r="L51">
        <f t="shared" si="2"/>
        <v>5.1402817537852556E-3</v>
      </c>
      <c r="M51">
        <f t="shared" si="3"/>
        <v>5.1402817537852554</v>
      </c>
      <c r="N51">
        <f t="shared" si="4"/>
        <v>18.505014313626919</v>
      </c>
      <c r="O51">
        <f t="shared" si="5"/>
        <v>8.5050143136269192</v>
      </c>
    </row>
    <row r="52" spans="1:15" x14ac:dyDescent="0.3">
      <c r="A52">
        <v>5600.01</v>
      </c>
      <c r="B52">
        <v>5603</v>
      </c>
      <c r="C52">
        <v>8</v>
      </c>
      <c r="D52" t="s">
        <v>9</v>
      </c>
      <c r="E52" s="1">
        <f t="shared" ref="E52:E53" si="6">B52</f>
        <v>5603</v>
      </c>
      <c r="F52">
        <v>50</v>
      </c>
      <c r="G52">
        <v>60.3</v>
      </c>
      <c r="H52">
        <v>3.6</v>
      </c>
      <c r="I52">
        <f t="shared" si="0"/>
        <v>5.3099999999999994E-2</v>
      </c>
      <c r="J52">
        <f t="shared" si="1"/>
        <v>2.2145165154970788E-3</v>
      </c>
      <c r="K52">
        <v>1</v>
      </c>
      <c r="L52">
        <f t="shared" si="2"/>
        <v>2.2145165154970788E-3</v>
      </c>
      <c r="M52">
        <f t="shared" si="3"/>
        <v>2.214516515497079</v>
      </c>
      <c r="N52">
        <f t="shared" si="4"/>
        <v>7.9722594557894837</v>
      </c>
      <c r="O52">
        <f t="shared" si="5"/>
        <v>-2.7740544210516305E-2</v>
      </c>
    </row>
    <row r="53" spans="1:15" x14ac:dyDescent="0.3">
      <c r="A53">
        <v>5600.01</v>
      </c>
      <c r="B53">
        <v>5601</v>
      </c>
      <c r="C53">
        <v>2</v>
      </c>
      <c r="D53" t="s">
        <v>9</v>
      </c>
      <c r="E53" s="1">
        <f t="shared" si="6"/>
        <v>5601</v>
      </c>
      <c r="F53">
        <v>50</v>
      </c>
      <c r="G53">
        <v>60.3</v>
      </c>
      <c r="H53">
        <v>3.6</v>
      </c>
      <c r="I53">
        <f t="shared" si="0"/>
        <v>5.3099999999999994E-2</v>
      </c>
      <c r="J53">
        <f t="shared" si="1"/>
        <v>2.2145165154970788E-3</v>
      </c>
      <c r="K53">
        <v>1</v>
      </c>
      <c r="L53">
        <f t="shared" si="2"/>
        <v>2.2145165154970788E-3</v>
      </c>
      <c r="M53">
        <f t="shared" si="3"/>
        <v>2.214516515497079</v>
      </c>
      <c r="N53">
        <f t="shared" si="4"/>
        <v>7.9722594557894837</v>
      </c>
      <c r="O53">
        <f t="shared" si="5"/>
        <v>5.9722594557894837</v>
      </c>
    </row>
    <row r="54" spans="1:15" x14ac:dyDescent="0.3">
      <c r="A54">
        <v>24</v>
      </c>
      <c r="B54">
        <v>56000.01</v>
      </c>
      <c r="C54">
        <v>5</v>
      </c>
      <c r="D54" t="s">
        <v>10</v>
      </c>
      <c r="E54" s="1">
        <v>56000.01</v>
      </c>
      <c r="F54">
        <v>100</v>
      </c>
      <c r="G54">
        <v>114</v>
      </c>
      <c r="H54">
        <v>4.5</v>
      </c>
      <c r="I54">
        <f t="shared" si="0"/>
        <v>0.105</v>
      </c>
      <c r="J54">
        <f t="shared" si="1"/>
        <v>8.6590147514568668E-3</v>
      </c>
      <c r="K54">
        <v>1</v>
      </c>
      <c r="L54">
        <f t="shared" si="2"/>
        <v>8.6590147514568668E-3</v>
      </c>
      <c r="M54">
        <f t="shared" si="3"/>
        <v>8.6590147514568674</v>
      </c>
      <c r="N54">
        <f t="shared" si="4"/>
        <v>31.17245310524472</v>
      </c>
      <c r="O54">
        <f t="shared" si="5"/>
        <v>26.17245310524472</v>
      </c>
    </row>
    <row r="55" spans="1:15" x14ac:dyDescent="0.3">
      <c r="A55">
        <v>56000.01</v>
      </c>
      <c r="B55">
        <v>56002</v>
      </c>
      <c r="C55">
        <v>5</v>
      </c>
      <c r="D55" t="s">
        <v>10</v>
      </c>
      <c r="E55" s="1">
        <v>56002</v>
      </c>
      <c r="F55">
        <v>50</v>
      </c>
      <c r="G55">
        <v>60.3</v>
      </c>
      <c r="H55">
        <v>3.6</v>
      </c>
      <c r="I55">
        <f t="shared" si="0"/>
        <v>5.3099999999999994E-2</v>
      </c>
      <c r="J55">
        <f t="shared" si="1"/>
        <v>2.2145165154970788E-3</v>
      </c>
      <c r="K55">
        <v>1</v>
      </c>
      <c r="L55">
        <f t="shared" si="2"/>
        <v>2.2145165154970788E-3</v>
      </c>
      <c r="M55">
        <f t="shared" si="3"/>
        <v>2.214516515497079</v>
      </c>
      <c r="N55">
        <f t="shared" si="4"/>
        <v>7.9722594557894837</v>
      </c>
      <c r="O55">
        <f t="shared" si="5"/>
        <v>2.9722594557894837</v>
      </c>
    </row>
    <row r="56" spans="1:15" x14ac:dyDescent="0.3">
      <c r="A56">
        <v>24</v>
      </c>
      <c r="B56">
        <v>52100.01</v>
      </c>
      <c r="D56" t="s">
        <v>12</v>
      </c>
      <c r="E56" s="1">
        <v>52100.01</v>
      </c>
      <c r="F56">
        <v>80</v>
      </c>
      <c r="G56">
        <v>88.9</v>
      </c>
      <c r="H56">
        <v>4</v>
      </c>
      <c r="I56">
        <f t="shared" si="0"/>
        <v>8.0900000000000014E-2</v>
      </c>
      <c r="J56">
        <f t="shared" si="1"/>
        <v>5.1402817537852556E-3</v>
      </c>
      <c r="K56">
        <v>1</v>
      </c>
      <c r="L56">
        <f t="shared" si="2"/>
        <v>5.1402817537852556E-3</v>
      </c>
      <c r="M56">
        <f t="shared" si="3"/>
        <v>5.1402817537852554</v>
      </c>
      <c r="N56">
        <f t="shared" si="4"/>
        <v>18.505014313626919</v>
      </c>
      <c r="O56">
        <f t="shared" si="5"/>
        <v>18.505014313626919</v>
      </c>
    </row>
    <row r="57" spans="1:15" x14ac:dyDescent="0.3">
      <c r="A57">
        <v>52100.01</v>
      </c>
      <c r="B57">
        <v>52100.02</v>
      </c>
      <c r="D57" t="s">
        <v>12</v>
      </c>
      <c r="E57" s="1">
        <v>52100.02</v>
      </c>
      <c r="F57">
        <v>80</v>
      </c>
      <c r="G57">
        <v>88.9</v>
      </c>
      <c r="H57">
        <v>4</v>
      </c>
      <c r="I57">
        <f t="shared" si="0"/>
        <v>8.0900000000000014E-2</v>
      </c>
      <c r="J57">
        <f t="shared" si="1"/>
        <v>5.1402817537852556E-3</v>
      </c>
      <c r="K57">
        <v>1</v>
      </c>
      <c r="L57">
        <f t="shared" si="2"/>
        <v>5.1402817537852556E-3</v>
      </c>
      <c r="M57">
        <f t="shared" si="3"/>
        <v>5.1402817537852554</v>
      </c>
      <c r="N57">
        <f t="shared" si="4"/>
        <v>18.505014313626919</v>
      </c>
      <c r="O57">
        <f t="shared" si="5"/>
        <v>18.505014313626919</v>
      </c>
    </row>
    <row r="58" spans="1:15" x14ac:dyDescent="0.3">
      <c r="A58">
        <v>52100.01</v>
      </c>
      <c r="B58">
        <v>52100.03</v>
      </c>
      <c r="D58" t="s">
        <v>12</v>
      </c>
      <c r="E58" s="1">
        <f>B58</f>
        <v>52100.03</v>
      </c>
      <c r="F58">
        <v>50</v>
      </c>
      <c r="G58">
        <v>60.3</v>
      </c>
      <c r="H58">
        <v>3.6</v>
      </c>
      <c r="I58">
        <f t="shared" si="0"/>
        <v>5.3099999999999994E-2</v>
      </c>
      <c r="J58">
        <f t="shared" si="1"/>
        <v>2.2145165154970788E-3</v>
      </c>
      <c r="K58">
        <v>1</v>
      </c>
      <c r="L58">
        <f t="shared" si="2"/>
        <v>2.2145165154970788E-3</v>
      </c>
      <c r="M58">
        <f t="shared" si="3"/>
        <v>2.214516515497079</v>
      </c>
      <c r="N58">
        <f t="shared" si="4"/>
        <v>7.9722594557894837</v>
      </c>
      <c r="O58">
        <f t="shared" si="5"/>
        <v>7.9722594557894837</v>
      </c>
    </row>
    <row r="59" spans="1:15" x14ac:dyDescent="0.3">
      <c r="A59">
        <v>52100.02</v>
      </c>
      <c r="B59">
        <v>52107</v>
      </c>
      <c r="D59" t="s">
        <v>12</v>
      </c>
      <c r="E59" s="1">
        <v>52107</v>
      </c>
      <c r="F59">
        <v>65</v>
      </c>
      <c r="G59">
        <v>76.099999999999994</v>
      </c>
      <c r="H59">
        <v>3.6</v>
      </c>
      <c r="I59">
        <f t="shared" si="0"/>
        <v>6.8899999999999989E-2</v>
      </c>
      <c r="J59">
        <f t="shared" si="1"/>
        <v>3.728450015261999E-3</v>
      </c>
      <c r="K59">
        <v>1</v>
      </c>
      <c r="L59">
        <f t="shared" si="2"/>
        <v>3.728450015261999E-3</v>
      </c>
      <c r="M59">
        <f t="shared" si="3"/>
        <v>3.7284500152619988</v>
      </c>
      <c r="N59">
        <f t="shared" si="4"/>
        <v>13.422420054943197</v>
      </c>
      <c r="O59">
        <f t="shared" si="5"/>
        <v>13.422420054943197</v>
      </c>
    </row>
    <row r="60" spans="1:15" x14ac:dyDescent="0.3">
      <c r="A60">
        <v>52100.02</v>
      </c>
      <c r="B60">
        <v>52207</v>
      </c>
      <c r="D60" t="s">
        <v>12</v>
      </c>
      <c r="E60" s="1">
        <v>52207</v>
      </c>
      <c r="F60">
        <v>50</v>
      </c>
      <c r="G60">
        <v>60.3</v>
      </c>
      <c r="H60">
        <v>3.6</v>
      </c>
      <c r="I60">
        <f t="shared" si="0"/>
        <v>5.3099999999999994E-2</v>
      </c>
      <c r="J60">
        <f t="shared" si="1"/>
        <v>2.2145165154970788E-3</v>
      </c>
      <c r="K60">
        <v>1</v>
      </c>
      <c r="L60">
        <f t="shared" si="2"/>
        <v>2.2145165154970788E-3</v>
      </c>
      <c r="M60">
        <f t="shared" si="3"/>
        <v>2.214516515497079</v>
      </c>
      <c r="N60">
        <f t="shared" si="4"/>
        <v>7.9722594557894837</v>
      </c>
      <c r="O60">
        <f t="shared" si="5"/>
        <v>7.9722594557894837</v>
      </c>
    </row>
    <row r="61" spans="1:15" x14ac:dyDescent="0.3">
      <c r="A61">
        <v>52100.03</v>
      </c>
      <c r="B61">
        <v>52100</v>
      </c>
      <c r="D61" t="s">
        <v>12</v>
      </c>
      <c r="E61" s="1">
        <f>B61</f>
        <v>52100</v>
      </c>
      <c r="F61">
        <v>50</v>
      </c>
      <c r="G61">
        <v>60.3</v>
      </c>
      <c r="H61">
        <v>3.6</v>
      </c>
      <c r="I61">
        <f t="shared" si="0"/>
        <v>5.3099999999999994E-2</v>
      </c>
      <c r="J61">
        <f t="shared" si="1"/>
        <v>2.2145165154970788E-3</v>
      </c>
      <c r="K61">
        <v>1</v>
      </c>
      <c r="L61">
        <f t="shared" si="2"/>
        <v>2.2145165154970788E-3</v>
      </c>
      <c r="M61">
        <f t="shared" si="3"/>
        <v>2.214516515497079</v>
      </c>
      <c r="N61">
        <f t="shared" si="4"/>
        <v>7.9722594557894837</v>
      </c>
      <c r="O61">
        <f t="shared" si="5"/>
        <v>7.9722594557894837</v>
      </c>
    </row>
    <row r="62" spans="1:15" x14ac:dyDescent="0.3">
      <c r="A62">
        <v>52100.03</v>
      </c>
      <c r="B62">
        <v>52200</v>
      </c>
      <c r="D62" t="s">
        <v>12</v>
      </c>
      <c r="E62" s="1">
        <f>B62</f>
        <v>52200</v>
      </c>
      <c r="F62">
        <v>50</v>
      </c>
      <c r="G62">
        <v>60.3</v>
      </c>
      <c r="H62">
        <v>3.6</v>
      </c>
      <c r="I62">
        <f t="shared" si="0"/>
        <v>5.3099999999999994E-2</v>
      </c>
      <c r="J62">
        <f t="shared" si="1"/>
        <v>2.2145165154970788E-3</v>
      </c>
      <c r="K62">
        <v>1</v>
      </c>
      <c r="L62">
        <f t="shared" si="2"/>
        <v>2.2145165154970788E-3</v>
      </c>
      <c r="M62">
        <f t="shared" si="3"/>
        <v>2.214516515497079</v>
      </c>
      <c r="N62">
        <f t="shared" si="4"/>
        <v>7.9722594557894837</v>
      </c>
      <c r="O62">
        <f t="shared" si="5"/>
        <v>7.9722594557894837</v>
      </c>
    </row>
    <row r="63" spans="1:15" x14ac:dyDescent="0.3">
      <c r="A63">
        <v>7</v>
      </c>
      <c r="B63">
        <v>3700.01</v>
      </c>
      <c r="C63">
        <v>100</v>
      </c>
      <c r="D63" t="s">
        <v>20</v>
      </c>
      <c r="E63" s="1">
        <v>3700.01</v>
      </c>
      <c r="F63">
        <v>200</v>
      </c>
      <c r="G63">
        <v>220</v>
      </c>
      <c r="H63">
        <v>5</v>
      </c>
      <c r="I63">
        <f t="shared" si="0"/>
        <v>0.21</v>
      </c>
      <c r="J63">
        <f t="shared" si="1"/>
        <v>3.4636059005827467E-2</v>
      </c>
      <c r="K63">
        <v>1</v>
      </c>
      <c r="L63">
        <f t="shared" si="2"/>
        <v>3.4636059005827467E-2</v>
      </c>
      <c r="M63">
        <f t="shared" si="3"/>
        <v>34.63605900582747</v>
      </c>
      <c r="N63">
        <f t="shared" si="4"/>
        <v>124.68981242097888</v>
      </c>
      <c r="O63">
        <f t="shared" si="5"/>
        <v>24.689812420978882</v>
      </c>
    </row>
    <row r="64" spans="1:15" x14ac:dyDescent="0.3">
      <c r="A64">
        <v>3700.01</v>
      </c>
      <c r="B64">
        <v>1120</v>
      </c>
      <c r="C64">
        <v>100</v>
      </c>
      <c r="D64" t="s">
        <v>20</v>
      </c>
      <c r="E64" s="1">
        <v>1120</v>
      </c>
      <c r="F64">
        <v>125</v>
      </c>
      <c r="G64">
        <v>141</v>
      </c>
      <c r="H64">
        <v>5</v>
      </c>
      <c r="I64">
        <f t="shared" si="0"/>
        <v>0.13100000000000001</v>
      </c>
      <c r="J64">
        <f t="shared" si="1"/>
        <v>1.3478217882063612E-2</v>
      </c>
      <c r="K64">
        <v>1</v>
      </c>
      <c r="L64">
        <f t="shared" si="2"/>
        <v>1.3478217882063612E-2</v>
      </c>
      <c r="M64">
        <f t="shared" si="3"/>
        <v>13.478217882063612</v>
      </c>
      <c r="N64">
        <f t="shared" si="4"/>
        <v>48.521584375429001</v>
      </c>
      <c r="O64">
        <f t="shared" si="5"/>
        <v>-51.478415624570999</v>
      </c>
    </row>
    <row r="65" spans="1:15" x14ac:dyDescent="0.3">
      <c r="A65">
        <v>13</v>
      </c>
      <c r="B65">
        <v>5800.01</v>
      </c>
      <c r="C65">
        <v>100</v>
      </c>
      <c r="D65" t="s">
        <v>13</v>
      </c>
      <c r="E65" s="1">
        <v>5800.01</v>
      </c>
      <c r="F65">
        <v>100</v>
      </c>
      <c r="G65">
        <v>114</v>
      </c>
      <c r="H65">
        <v>4.5</v>
      </c>
      <c r="I65">
        <f t="shared" si="0"/>
        <v>0.105</v>
      </c>
      <c r="J65">
        <f t="shared" si="1"/>
        <v>8.6590147514568668E-3</v>
      </c>
      <c r="K65">
        <v>1</v>
      </c>
      <c r="L65">
        <f t="shared" si="2"/>
        <v>8.6590147514568668E-3</v>
      </c>
      <c r="M65">
        <f t="shared" si="3"/>
        <v>8.6590147514568674</v>
      </c>
      <c r="N65">
        <f t="shared" si="4"/>
        <v>31.17245310524472</v>
      </c>
      <c r="O65">
        <f t="shared" si="5"/>
        <v>-68.827546894755272</v>
      </c>
    </row>
    <row r="66" spans="1:15" x14ac:dyDescent="0.3">
      <c r="A66">
        <v>5800.01</v>
      </c>
      <c r="B66">
        <v>5802</v>
      </c>
      <c r="C66">
        <v>50</v>
      </c>
      <c r="D66" t="s">
        <v>13</v>
      </c>
      <c r="E66" s="1">
        <v>5802</v>
      </c>
      <c r="F66">
        <v>50</v>
      </c>
      <c r="G66">
        <v>60.3</v>
      </c>
      <c r="H66">
        <v>3.6</v>
      </c>
      <c r="I66">
        <f t="shared" si="0"/>
        <v>5.3099999999999994E-2</v>
      </c>
      <c r="J66">
        <f t="shared" si="1"/>
        <v>2.2145165154970788E-3</v>
      </c>
      <c r="K66">
        <v>1</v>
      </c>
      <c r="L66">
        <f t="shared" si="2"/>
        <v>2.2145165154970788E-3</v>
      </c>
      <c r="M66">
        <f t="shared" si="3"/>
        <v>2.214516515497079</v>
      </c>
      <c r="N66">
        <f t="shared" si="4"/>
        <v>7.9722594557894837</v>
      </c>
      <c r="O66">
        <f t="shared" si="5"/>
        <v>-42.027740544210516</v>
      </c>
    </row>
    <row r="67" spans="1:15" x14ac:dyDescent="0.3">
      <c r="A67">
        <v>5800.01</v>
      </c>
      <c r="B67">
        <v>5801</v>
      </c>
      <c r="C67">
        <v>50</v>
      </c>
      <c r="D67" t="s">
        <v>13</v>
      </c>
      <c r="E67" s="1">
        <v>5801</v>
      </c>
      <c r="F67">
        <v>80</v>
      </c>
      <c r="G67">
        <v>88.9</v>
      </c>
      <c r="H67">
        <v>4</v>
      </c>
      <c r="I67">
        <f t="shared" si="0"/>
        <v>8.0900000000000014E-2</v>
      </c>
      <c r="J67">
        <f t="shared" si="1"/>
        <v>5.1402817537852556E-3</v>
      </c>
      <c r="K67">
        <v>1</v>
      </c>
      <c r="L67">
        <f t="shared" si="2"/>
        <v>5.1402817537852556E-3</v>
      </c>
      <c r="M67">
        <f t="shared" si="3"/>
        <v>5.1402817537852554</v>
      </c>
      <c r="N67">
        <f t="shared" si="4"/>
        <v>18.505014313626919</v>
      </c>
      <c r="O67">
        <f t="shared" si="5"/>
        <v>-31.494985686373081</v>
      </c>
    </row>
    <row r="68" spans="1:15" x14ac:dyDescent="0.3">
      <c r="A68">
        <v>8</v>
      </c>
      <c r="B68">
        <v>5700.01</v>
      </c>
      <c r="C68">
        <v>10</v>
      </c>
      <c r="D68" t="s">
        <v>14</v>
      </c>
      <c r="E68" s="1">
        <v>5700.01</v>
      </c>
      <c r="F68">
        <v>100</v>
      </c>
      <c r="G68">
        <v>114</v>
      </c>
      <c r="H68">
        <v>4.5</v>
      </c>
      <c r="I68">
        <f t="shared" si="0"/>
        <v>0.105</v>
      </c>
      <c r="J68">
        <f t="shared" si="1"/>
        <v>8.6590147514568668E-3</v>
      </c>
      <c r="K68">
        <v>1</v>
      </c>
      <c r="L68">
        <f t="shared" si="2"/>
        <v>8.6590147514568668E-3</v>
      </c>
      <c r="M68">
        <f t="shared" si="3"/>
        <v>8.6590147514568674</v>
      </c>
      <c r="N68">
        <f t="shared" si="4"/>
        <v>31.17245310524472</v>
      </c>
      <c r="O68">
        <f t="shared" si="5"/>
        <v>21.17245310524472</v>
      </c>
    </row>
    <row r="69" spans="1:15" x14ac:dyDescent="0.3">
      <c r="A69">
        <v>5700.01</v>
      </c>
      <c r="B69">
        <v>5701</v>
      </c>
      <c r="C69">
        <v>10</v>
      </c>
      <c r="D69" t="s">
        <v>14</v>
      </c>
      <c r="E69" s="1">
        <v>5701</v>
      </c>
      <c r="F69">
        <v>80</v>
      </c>
      <c r="G69">
        <v>88.9</v>
      </c>
      <c r="H69">
        <v>4</v>
      </c>
      <c r="I69">
        <f t="shared" si="0"/>
        <v>8.0900000000000014E-2</v>
      </c>
      <c r="J69">
        <f t="shared" si="1"/>
        <v>5.1402817537852556E-3</v>
      </c>
      <c r="K69">
        <v>1</v>
      </c>
      <c r="L69">
        <f t="shared" si="2"/>
        <v>5.1402817537852556E-3</v>
      </c>
      <c r="M69">
        <f t="shared" si="3"/>
        <v>5.1402817537852554</v>
      </c>
      <c r="N69">
        <f t="shared" si="4"/>
        <v>18.505014313626919</v>
      </c>
      <c r="O69">
        <f t="shared" si="5"/>
        <v>8.5050143136269192</v>
      </c>
    </row>
    <row r="70" spans="1:15" x14ac:dyDescent="0.3">
      <c r="A70">
        <v>12</v>
      </c>
      <c r="B70">
        <v>4600.01</v>
      </c>
      <c r="C70">
        <v>15</v>
      </c>
      <c r="D70" t="s">
        <v>33</v>
      </c>
      <c r="E70" s="1">
        <v>4600.01</v>
      </c>
      <c r="F70">
        <v>65</v>
      </c>
      <c r="G70">
        <v>76.099999999999994</v>
      </c>
      <c r="H70">
        <v>3.6</v>
      </c>
      <c r="I70">
        <f t="shared" si="0"/>
        <v>6.8899999999999989E-2</v>
      </c>
      <c r="J70">
        <f t="shared" si="1"/>
        <v>3.728450015261999E-3</v>
      </c>
      <c r="K70">
        <v>1</v>
      </c>
      <c r="L70">
        <f t="shared" si="2"/>
        <v>3.728450015261999E-3</v>
      </c>
      <c r="M70">
        <f t="shared" si="3"/>
        <v>3.7284500152619988</v>
      </c>
      <c r="N70">
        <f t="shared" si="4"/>
        <v>13.422420054943197</v>
      </c>
      <c r="O70">
        <f t="shared" si="5"/>
        <v>-1.5775799450568027</v>
      </c>
    </row>
    <row r="71" spans="1:15" x14ac:dyDescent="0.3">
      <c r="A71">
        <v>4600.01</v>
      </c>
      <c r="B71">
        <v>4671</v>
      </c>
      <c r="C71">
        <v>15</v>
      </c>
      <c r="D71" t="s">
        <v>33</v>
      </c>
      <c r="E71" s="1">
        <v>4671</v>
      </c>
      <c r="F71">
        <v>32</v>
      </c>
      <c r="G71">
        <v>43</v>
      </c>
      <c r="H71">
        <v>3.2</v>
      </c>
      <c r="I71">
        <f t="shared" si="0"/>
        <v>3.6600000000000001E-2</v>
      </c>
      <c r="J71">
        <f t="shared" si="1"/>
        <v>1.0520879637606858E-3</v>
      </c>
      <c r="K71">
        <v>1</v>
      </c>
      <c r="L71">
        <f t="shared" si="2"/>
        <v>1.0520879637606858E-3</v>
      </c>
      <c r="M71">
        <f t="shared" si="3"/>
        <v>1.0520879637606857</v>
      </c>
      <c r="N71">
        <f t="shared" si="4"/>
        <v>3.7875166695384688</v>
      </c>
      <c r="O71">
        <f t="shared" si="5"/>
        <v>-11.212483330461531</v>
      </c>
    </row>
    <row r="72" spans="1:15" x14ac:dyDescent="0.3">
      <c r="A72">
        <v>4600.01</v>
      </c>
      <c r="B72">
        <v>4670</v>
      </c>
      <c r="C72">
        <v>0</v>
      </c>
      <c r="D72" t="s">
        <v>33</v>
      </c>
      <c r="E72" s="1">
        <v>4670</v>
      </c>
    </row>
    <row r="73" spans="1:15" x14ac:dyDescent="0.3">
      <c r="A73">
        <v>16</v>
      </c>
      <c r="B73">
        <v>4600.0200000000004</v>
      </c>
      <c r="C73">
        <v>25</v>
      </c>
      <c r="D73" t="s">
        <v>33</v>
      </c>
      <c r="E73" s="1">
        <v>4600.0200000000004</v>
      </c>
      <c r="F73">
        <v>125</v>
      </c>
      <c r="G73">
        <v>139.69999999999999</v>
      </c>
      <c r="H73">
        <v>5</v>
      </c>
      <c r="I73">
        <f t="shared" si="0"/>
        <v>0.12969999999999998</v>
      </c>
      <c r="J73">
        <f t="shared" si="1"/>
        <v>1.3212038590506577E-2</v>
      </c>
      <c r="K73">
        <v>1</v>
      </c>
      <c r="L73">
        <f t="shared" si="2"/>
        <v>1.3212038590506577E-2</v>
      </c>
      <c r="M73">
        <f t="shared" si="3"/>
        <v>13.212038590506577</v>
      </c>
      <c r="N73">
        <f t="shared" si="4"/>
        <v>47.563338925823679</v>
      </c>
      <c r="O73">
        <f t="shared" si="5"/>
        <v>22.563338925823679</v>
      </c>
    </row>
    <row r="74" spans="1:15" x14ac:dyDescent="0.3">
      <c r="A74">
        <v>4600.0200000000004</v>
      </c>
      <c r="B74">
        <v>4651</v>
      </c>
      <c r="C74">
        <v>25</v>
      </c>
      <c r="D74" t="s">
        <v>33</v>
      </c>
      <c r="E74" s="1">
        <v>4651</v>
      </c>
      <c r="F74">
        <v>50</v>
      </c>
      <c r="G74">
        <v>60.3</v>
      </c>
      <c r="H74">
        <v>3.6</v>
      </c>
      <c r="I74">
        <f t="shared" ref="I74:I98" si="7">(G74-2*H74)*10^-3</f>
        <v>5.3099999999999994E-2</v>
      </c>
      <c r="J74">
        <f t="shared" ref="J74:J98" si="8">PI()*I74^2/4</f>
        <v>2.2145165154970788E-3</v>
      </c>
      <c r="K74">
        <v>1</v>
      </c>
      <c r="L74">
        <f t="shared" ref="L74:L98" si="9">J74*K74</f>
        <v>2.2145165154970788E-3</v>
      </c>
      <c r="M74">
        <f t="shared" ref="M74:M98" si="10">L74*1000</f>
        <v>2.214516515497079</v>
      </c>
      <c r="N74">
        <f t="shared" ref="N74:N98" si="11">L74*3600</f>
        <v>7.9722594557894837</v>
      </c>
      <c r="O74">
        <f t="shared" ref="O74:O98" si="12">N74-C74</f>
        <v>-17.027740544210516</v>
      </c>
    </row>
    <row r="75" spans="1:15" x14ac:dyDescent="0.3">
      <c r="A75">
        <v>17</v>
      </c>
      <c r="B75">
        <v>4501</v>
      </c>
      <c r="C75">
        <v>10</v>
      </c>
      <c r="D75" t="s">
        <v>15</v>
      </c>
      <c r="E75" s="1">
        <v>4501</v>
      </c>
      <c r="F75">
        <v>50</v>
      </c>
      <c r="G75">
        <v>60.3</v>
      </c>
      <c r="H75">
        <v>3.6</v>
      </c>
      <c r="I75">
        <f t="shared" si="7"/>
        <v>5.3099999999999994E-2</v>
      </c>
      <c r="J75">
        <f t="shared" si="8"/>
        <v>2.2145165154970788E-3</v>
      </c>
      <c r="K75">
        <v>1</v>
      </c>
      <c r="L75">
        <f t="shared" si="9"/>
        <v>2.2145165154970788E-3</v>
      </c>
      <c r="M75">
        <f t="shared" si="10"/>
        <v>2.214516515497079</v>
      </c>
      <c r="N75">
        <f t="shared" si="11"/>
        <v>7.9722594557894837</v>
      </c>
      <c r="O75">
        <f t="shared" si="12"/>
        <v>-2.0277405442105163</v>
      </c>
    </row>
    <row r="76" spans="1:15" x14ac:dyDescent="0.3">
      <c r="A76">
        <v>9</v>
      </c>
      <c r="B76">
        <v>4700.01</v>
      </c>
      <c r="C76">
        <v>50</v>
      </c>
      <c r="D76" t="s">
        <v>16</v>
      </c>
      <c r="E76" s="1">
        <v>4700.01</v>
      </c>
      <c r="F76">
        <v>150</v>
      </c>
      <c r="G76">
        <v>168.3</v>
      </c>
      <c r="H76">
        <v>5</v>
      </c>
      <c r="I76">
        <f t="shared" si="7"/>
        <v>0.15830000000000002</v>
      </c>
      <c r="J76">
        <f t="shared" si="8"/>
        <v>1.9681206182778688E-2</v>
      </c>
      <c r="K76">
        <v>1</v>
      </c>
      <c r="L76">
        <f t="shared" si="9"/>
        <v>1.9681206182778688E-2</v>
      </c>
      <c r="M76">
        <f t="shared" si="10"/>
        <v>19.681206182778688</v>
      </c>
      <c r="N76">
        <f t="shared" si="11"/>
        <v>70.852342258003276</v>
      </c>
      <c r="O76">
        <f t="shared" si="12"/>
        <v>20.852342258003276</v>
      </c>
    </row>
    <row r="77" spans="1:15" x14ac:dyDescent="0.3">
      <c r="A77">
        <v>4700.01</v>
      </c>
      <c r="B77">
        <v>4700.0200000000004</v>
      </c>
      <c r="C77">
        <v>40</v>
      </c>
      <c r="D77" t="s">
        <v>16</v>
      </c>
      <c r="E77" s="1">
        <v>4700.0200000000004</v>
      </c>
      <c r="F77">
        <v>100</v>
      </c>
      <c r="G77">
        <v>114</v>
      </c>
      <c r="H77">
        <v>4.5</v>
      </c>
      <c r="I77">
        <f t="shared" si="7"/>
        <v>0.105</v>
      </c>
      <c r="J77">
        <f t="shared" si="8"/>
        <v>8.6590147514568668E-3</v>
      </c>
      <c r="K77">
        <v>1</v>
      </c>
      <c r="L77">
        <f t="shared" si="9"/>
        <v>8.6590147514568668E-3</v>
      </c>
      <c r="M77">
        <f t="shared" si="10"/>
        <v>8.6590147514568674</v>
      </c>
      <c r="N77">
        <f t="shared" si="11"/>
        <v>31.17245310524472</v>
      </c>
      <c r="O77">
        <f t="shared" si="12"/>
        <v>-8.8275468947552795</v>
      </c>
    </row>
    <row r="78" spans="1:15" x14ac:dyDescent="0.3">
      <c r="A78">
        <v>4700.0200000000004</v>
      </c>
      <c r="B78">
        <v>4810</v>
      </c>
      <c r="C78">
        <v>20</v>
      </c>
      <c r="D78" t="s">
        <v>16</v>
      </c>
      <c r="E78" s="1">
        <v>4810</v>
      </c>
      <c r="F78">
        <v>65</v>
      </c>
      <c r="G78">
        <v>76.099999999999994</v>
      </c>
      <c r="H78">
        <v>3.6</v>
      </c>
      <c r="I78">
        <f t="shared" si="7"/>
        <v>6.8899999999999989E-2</v>
      </c>
      <c r="J78">
        <f t="shared" si="8"/>
        <v>3.728450015261999E-3</v>
      </c>
      <c r="K78">
        <v>1</v>
      </c>
      <c r="L78">
        <f t="shared" si="9"/>
        <v>3.728450015261999E-3</v>
      </c>
      <c r="M78">
        <f t="shared" si="10"/>
        <v>3.7284500152619988</v>
      </c>
      <c r="N78">
        <f t="shared" si="11"/>
        <v>13.422420054943197</v>
      </c>
      <c r="O78">
        <f t="shared" si="12"/>
        <v>-6.5775799450568027</v>
      </c>
    </row>
    <row r="79" spans="1:15" x14ac:dyDescent="0.3">
      <c r="A79">
        <v>4700.0200000000004</v>
      </c>
      <c r="B79">
        <v>4710</v>
      </c>
      <c r="C79">
        <v>20</v>
      </c>
      <c r="D79" t="s">
        <v>16</v>
      </c>
      <c r="E79" s="1">
        <v>4710</v>
      </c>
      <c r="F79">
        <v>65</v>
      </c>
      <c r="G79">
        <v>76.099999999999994</v>
      </c>
      <c r="H79">
        <v>3.6</v>
      </c>
      <c r="I79">
        <f t="shared" si="7"/>
        <v>6.8899999999999989E-2</v>
      </c>
      <c r="J79">
        <f t="shared" si="8"/>
        <v>3.728450015261999E-3</v>
      </c>
      <c r="K79">
        <v>1</v>
      </c>
      <c r="L79">
        <f t="shared" si="9"/>
        <v>3.728450015261999E-3</v>
      </c>
      <c r="M79">
        <f t="shared" si="10"/>
        <v>3.7284500152619988</v>
      </c>
      <c r="N79">
        <f t="shared" si="11"/>
        <v>13.422420054943197</v>
      </c>
      <c r="O79">
        <f t="shared" si="12"/>
        <v>-6.5775799450568027</v>
      </c>
    </row>
    <row r="80" spans="1:15" x14ac:dyDescent="0.3">
      <c r="A80">
        <v>4700.01</v>
      </c>
      <c r="B80">
        <v>4740</v>
      </c>
      <c r="C80">
        <v>10</v>
      </c>
      <c r="D80" t="s">
        <v>16</v>
      </c>
      <c r="E80" s="1">
        <v>4740</v>
      </c>
      <c r="F80">
        <v>25</v>
      </c>
      <c r="G80">
        <v>33.700000000000003</v>
      </c>
      <c r="H80">
        <v>3.2</v>
      </c>
      <c r="I80">
        <f t="shared" si="7"/>
        <v>2.7300000000000005E-2</v>
      </c>
      <c r="J80">
        <f t="shared" si="8"/>
        <v>5.8534939719848437E-4</v>
      </c>
      <c r="K80">
        <v>1</v>
      </c>
      <c r="L80">
        <f t="shared" si="9"/>
        <v>5.8534939719848437E-4</v>
      </c>
      <c r="M80">
        <f t="shared" si="10"/>
        <v>0.58534939719848433</v>
      </c>
      <c r="N80">
        <f t="shared" si="11"/>
        <v>2.1072578299145439</v>
      </c>
      <c r="O80">
        <f t="shared" si="12"/>
        <v>-7.8927421700854561</v>
      </c>
    </row>
    <row r="81" spans="1:15" x14ac:dyDescent="0.3">
      <c r="A81">
        <v>4700.0200000000004</v>
      </c>
      <c r="B81">
        <v>4711</v>
      </c>
      <c r="C81">
        <v>0</v>
      </c>
      <c r="D81" t="s">
        <v>16</v>
      </c>
      <c r="E81">
        <v>4711</v>
      </c>
      <c r="F81">
        <v>50</v>
      </c>
      <c r="G81">
        <v>60.3</v>
      </c>
      <c r="H81">
        <v>3.6</v>
      </c>
      <c r="I81">
        <f t="shared" si="7"/>
        <v>5.3099999999999994E-2</v>
      </c>
      <c r="J81">
        <f t="shared" si="8"/>
        <v>2.2145165154970788E-3</v>
      </c>
      <c r="K81">
        <v>1</v>
      </c>
      <c r="L81">
        <f t="shared" ref="L81:L82" si="13">J81*K81</f>
        <v>2.2145165154970788E-3</v>
      </c>
      <c r="M81">
        <f t="shared" ref="M81:M82" si="14">L81*1000</f>
        <v>2.214516515497079</v>
      </c>
      <c r="N81">
        <f t="shared" ref="N81:N82" si="15">L81*3600</f>
        <v>7.9722594557894837</v>
      </c>
      <c r="O81">
        <f t="shared" ref="O81:O82" si="16">N81-C81</f>
        <v>7.9722594557894837</v>
      </c>
    </row>
    <row r="82" spans="1:15" x14ac:dyDescent="0.3">
      <c r="A82">
        <v>4700.0200000000004</v>
      </c>
      <c r="B82">
        <v>4811</v>
      </c>
      <c r="C82">
        <v>0</v>
      </c>
      <c r="D82" t="s">
        <v>16</v>
      </c>
      <c r="E82">
        <v>4811</v>
      </c>
      <c r="F82">
        <v>50</v>
      </c>
      <c r="G82">
        <v>60.3</v>
      </c>
      <c r="H82">
        <v>3.6</v>
      </c>
      <c r="I82">
        <f t="shared" si="7"/>
        <v>5.3099999999999994E-2</v>
      </c>
      <c r="J82">
        <f t="shared" si="8"/>
        <v>2.2145165154970788E-3</v>
      </c>
      <c r="K82">
        <v>1</v>
      </c>
      <c r="L82">
        <f t="shared" si="13"/>
        <v>2.2145165154970788E-3</v>
      </c>
      <c r="M82">
        <f t="shared" si="14"/>
        <v>2.214516515497079</v>
      </c>
      <c r="N82">
        <f t="shared" si="15"/>
        <v>7.9722594557894837</v>
      </c>
      <c r="O82">
        <f t="shared" si="16"/>
        <v>7.9722594557894837</v>
      </c>
    </row>
    <row r="83" spans="1:15" x14ac:dyDescent="0.3">
      <c r="A83">
        <v>10</v>
      </c>
      <c r="B83">
        <v>3900.01</v>
      </c>
      <c r="C83">
        <v>300</v>
      </c>
      <c r="D83" t="s">
        <v>17</v>
      </c>
      <c r="E83" s="1">
        <v>3900.01</v>
      </c>
      <c r="F83">
        <f>G83</f>
        <v>204</v>
      </c>
      <c r="G83">
        <v>204</v>
      </c>
      <c r="H83">
        <v>2</v>
      </c>
      <c r="I83">
        <f t="shared" si="7"/>
        <v>0.2</v>
      </c>
      <c r="J83">
        <f t="shared" si="8"/>
        <v>3.1415926535897934E-2</v>
      </c>
      <c r="K83">
        <v>1</v>
      </c>
      <c r="L83">
        <f t="shared" si="9"/>
        <v>3.1415926535897934E-2</v>
      </c>
      <c r="M83">
        <f t="shared" si="10"/>
        <v>31.415926535897935</v>
      </c>
      <c r="N83">
        <f t="shared" si="11"/>
        <v>113.09733552923257</v>
      </c>
      <c r="O83">
        <f t="shared" si="12"/>
        <v>-186.90266447076743</v>
      </c>
    </row>
    <row r="84" spans="1:15" x14ac:dyDescent="0.3">
      <c r="A84">
        <v>3900.01</v>
      </c>
      <c r="B84">
        <v>3900.02</v>
      </c>
      <c r="C84">
        <v>200</v>
      </c>
      <c r="D84" t="s">
        <v>17</v>
      </c>
      <c r="E84" s="1">
        <v>3900.02</v>
      </c>
      <c r="F84">
        <f t="shared" ref="F84:F92" si="17">G84</f>
        <v>204</v>
      </c>
      <c r="G84">
        <v>204</v>
      </c>
      <c r="H84">
        <v>2</v>
      </c>
      <c r="I84">
        <f t="shared" si="7"/>
        <v>0.2</v>
      </c>
      <c r="J84">
        <f t="shared" si="8"/>
        <v>3.1415926535897934E-2</v>
      </c>
      <c r="K84">
        <v>1</v>
      </c>
      <c r="L84">
        <f t="shared" si="9"/>
        <v>3.1415926535897934E-2</v>
      </c>
      <c r="M84">
        <f t="shared" si="10"/>
        <v>31.415926535897935</v>
      </c>
      <c r="N84">
        <f t="shared" si="11"/>
        <v>113.09733552923257</v>
      </c>
      <c r="O84">
        <f t="shared" si="12"/>
        <v>-86.902664470767434</v>
      </c>
    </row>
    <row r="85" spans="1:15" x14ac:dyDescent="0.3">
      <c r="A85">
        <v>3900.02</v>
      </c>
      <c r="B85">
        <v>3900.03</v>
      </c>
      <c r="C85">
        <v>100</v>
      </c>
      <c r="D85" t="s">
        <v>17</v>
      </c>
      <c r="E85" s="1">
        <v>3900.03</v>
      </c>
      <c r="F85">
        <f t="shared" si="17"/>
        <v>155</v>
      </c>
      <c r="G85">
        <v>155</v>
      </c>
      <c r="H85">
        <v>2</v>
      </c>
      <c r="I85">
        <f t="shared" si="7"/>
        <v>0.151</v>
      </c>
      <c r="J85">
        <f t="shared" si="8"/>
        <v>1.7907863523625216E-2</v>
      </c>
      <c r="K85">
        <v>1</v>
      </c>
      <c r="L85">
        <f t="shared" si="9"/>
        <v>1.7907863523625216E-2</v>
      </c>
      <c r="M85">
        <f t="shared" si="10"/>
        <v>17.907863523625217</v>
      </c>
      <c r="N85">
        <f t="shared" si="11"/>
        <v>64.468308685050772</v>
      </c>
      <c r="O85">
        <f t="shared" si="12"/>
        <v>-35.531691314949228</v>
      </c>
    </row>
    <row r="86" spans="1:15" x14ac:dyDescent="0.3">
      <c r="A86">
        <v>3900.01</v>
      </c>
      <c r="B86">
        <v>31001</v>
      </c>
      <c r="C86">
        <v>100</v>
      </c>
      <c r="D86" t="s">
        <v>17</v>
      </c>
      <c r="E86" s="1">
        <v>31001</v>
      </c>
      <c r="F86">
        <f t="shared" si="17"/>
        <v>88.9</v>
      </c>
      <c r="G86">
        <v>88.9</v>
      </c>
      <c r="H86">
        <v>2</v>
      </c>
      <c r="I86">
        <f t="shared" si="7"/>
        <v>8.4900000000000003E-2</v>
      </c>
      <c r="J86">
        <f t="shared" si="8"/>
        <v>5.661157815750442E-3</v>
      </c>
      <c r="K86">
        <v>1</v>
      </c>
      <c r="L86">
        <f t="shared" si="9"/>
        <v>5.661157815750442E-3</v>
      </c>
      <c r="M86">
        <f t="shared" si="10"/>
        <v>5.6611578157504416</v>
      </c>
      <c r="N86">
        <f t="shared" si="11"/>
        <v>20.380168136701592</v>
      </c>
      <c r="O86">
        <f t="shared" si="12"/>
        <v>-79.619831863298401</v>
      </c>
    </row>
    <row r="87" spans="1:15" x14ac:dyDescent="0.3">
      <c r="A87">
        <v>3900.02</v>
      </c>
      <c r="B87">
        <v>3901</v>
      </c>
      <c r="C87">
        <v>100</v>
      </c>
      <c r="D87" t="s">
        <v>17</v>
      </c>
      <c r="E87" s="1">
        <v>3901</v>
      </c>
      <c r="F87">
        <f t="shared" si="17"/>
        <v>88.9</v>
      </c>
      <c r="G87">
        <v>88.9</v>
      </c>
      <c r="H87">
        <v>2</v>
      </c>
      <c r="I87">
        <f t="shared" si="7"/>
        <v>8.4900000000000003E-2</v>
      </c>
      <c r="J87">
        <f t="shared" si="8"/>
        <v>5.661157815750442E-3</v>
      </c>
      <c r="K87">
        <v>1</v>
      </c>
      <c r="L87">
        <f t="shared" si="9"/>
        <v>5.661157815750442E-3</v>
      </c>
      <c r="M87">
        <f t="shared" si="10"/>
        <v>5.6611578157504416</v>
      </c>
      <c r="N87">
        <f t="shared" si="11"/>
        <v>20.380168136701592</v>
      </c>
      <c r="O87">
        <f t="shared" si="12"/>
        <v>-79.619831863298401</v>
      </c>
    </row>
    <row r="88" spans="1:15" x14ac:dyDescent="0.3">
      <c r="A88">
        <v>3900.03</v>
      </c>
      <c r="B88">
        <v>31006</v>
      </c>
      <c r="C88">
        <v>50</v>
      </c>
      <c r="D88" t="s">
        <v>17</v>
      </c>
      <c r="E88" s="1">
        <v>31006</v>
      </c>
      <c r="F88">
        <f t="shared" si="17"/>
        <v>139.69999999999999</v>
      </c>
      <c r="G88">
        <v>139.69999999999999</v>
      </c>
      <c r="H88">
        <v>2</v>
      </c>
      <c r="I88">
        <f t="shared" si="7"/>
        <v>0.13569999999999999</v>
      </c>
      <c r="J88">
        <f t="shared" si="8"/>
        <v>1.4462706625900674E-2</v>
      </c>
      <c r="K88">
        <v>1</v>
      </c>
      <c r="L88">
        <f t="shared" si="9"/>
        <v>1.4462706625900674E-2</v>
      </c>
      <c r="M88">
        <f t="shared" si="10"/>
        <v>14.462706625900674</v>
      </c>
      <c r="N88">
        <f t="shared" si="11"/>
        <v>52.065743853242424</v>
      </c>
      <c r="O88">
        <f t="shared" si="12"/>
        <v>2.0657438532424237</v>
      </c>
    </row>
    <row r="89" spans="1:15" x14ac:dyDescent="0.3">
      <c r="A89">
        <v>3900.03</v>
      </c>
      <c r="B89">
        <v>3906</v>
      </c>
      <c r="C89">
        <v>50</v>
      </c>
      <c r="D89" t="s">
        <v>17</v>
      </c>
      <c r="E89" s="1">
        <v>3906</v>
      </c>
      <c r="F89">
        <f t="shared" si="17"/>
        <v>139.69999999999999</v>
      </c>
      <c r="G89">
        <v>139.69999999999999</v>
      </c>
      <c r="H89">
        <v>2</v>
      </c>
      <c r="I89">
        <f t="shared" si="7"/>
        <v>0.13569999999999999</v>
      </c>
      <c r="J89">
        <f t="shared" si="8"/>
        <v>1.4462706625900674E-2</v>
      </c>
      <c r="K89">
        <v>1</v>
      </c>
      <c r="L89">
        <f t="shared" si="9"/>
        <v>1.4462706625900674E-2</v>
      </c>
      <c r="M89">
        <f t="shared" si="10"/>
        <v>14.462706625900674</v>
      </c>
      <c r="N89">
        <f t="shared" si="11"/>
        <v>52.065743853242424</v>
      </c>
      <c r="O89">
        <f t="shared" si="12"/>
        <v>2.0657438532424237</v>
      </c>
    </row>
    <row r="90" spans="1:15" x14ac:dyDescent="0.3">
      <c r="A90">
        <v>19</v>
      </c>
      <c r="B90">
        <v>3800.01</v>
      </c>
      <c r="C90">
        <v>120</v>
      </c>
      <c r="D90" t="s">
        <v>18</v>
      </c>
      <c r="E90" s="1">
        <v>3800.01</v>
      </c>
      <c r="F90">
        <f t="shared" si="17"/>
        <v>155</v>
      </c>
      <c r="G90">
        <v>155</v>
      </c>
      <c r="H90">
        <v>2</v>
      </c>
      <c r="I90">
        <f t="shared" si="7"/>
        <v>0.151</v>
      </c>
      <c r="J90">
        <f t="shared" si="8"/>
        <v>1.7907863523625216E-2</v>
      </c>
      <c r="K90">
        <v>1</v>
      </c>
      <c r="L90">
        <f t="shared" si="9"/>
        <v>1.7907863523625216E-2</v>
      </c>
      <c r="M90">
        <f t="shared" si="10"/>
        <v>17.907863523625217</v>
      </c>
      <c r="N90">
        <f t="shared" si="11"/>
        <v>64.468308685050772</v>
      </c>
      <c r="O90">
        <f t="shared" si="12"/>
        <v>-55.531691314949228</v>
      </c>
    </row>
    <row r="91" spans="1:15" x14ac:dyDescent="0.3">
      <c r="A91">
        <v>3800.01</v>
      </c>
      <c r="B91">
        <v>3801</v>
      </c>
      <c r="C91">
        <v>90</v>
      </c>
      <c r="D91" t="s">
        <v>18</v>
      </c>
      <c r="E91" s="1">
        <v>3801</v>
      </c>
      <c r="F91">
        <f t="shared" si="17"/>
        <v>88.9</v>
      </c>
      <c r="G91">
        <v>88.9</v>
      </c>
      <c r="H91">
        <v>2</v>
      </c>
      <c r="I91">
        <f t="shared" si="7"/>
        <v>8.4900000000000003E-2</v>
      </c>
      <c r="J91">
        <f t="shared" si="8"/>
        <v>5.661157815750442E-3</v>
      </c>
      <c r="K91">
        <v>1</v>
      </c>
      <c r="L91">
        <f t="shared" si="9"/>
        <v>5.661157815750442E-3</v>
      </c>
      <c r="M91">
        <f t="shared" si="10"/>
        <v>5.6611578157504416</v>
      </c>
      <c r="N91">
        <f t="shared" si="11"/>
        <v>20.380168136701592</v>
      </c>
      <c r="O91">
        <f t="shared" si="12"/>
        <v>-69.619831863298401</v>
      </c>
    </row>
    <row r="92" spans="1:15" x14ac:dyDescent="0.3">
      <c r="A92">
        <v>3800.01</v>
      </c>
      <c r="B92">
        <v>3806</v>
      </c>
      <c r="C92">
        <v>30</v>
      </c>
      <c r="D92" t="s">
        <v>18</v>
      </c>
      <c r="E92" s="1">
        <v>3806</v>
      </c>
      <c r="F92">
        <f t="shared" si="17"/>
        <v>139.69999999999999</v>
      </c>
      <c r="G92">
        <v>139.69999999999999</v>
      </c>
      <c r="H92">
        <v>2</v>
      </c>
      <c r="I92">
        <f t="shared" si="7"/>
        <v>0.13569999999999999</v>
      </c>
      <c r="J92">
        <f t="shared" si="8"/>
        <v>1.4462706625900674E-2</v>
      </c>
      <c r="K92">
        <v>1</v>
      </c>
      <c r="L92">
        <f t="shared" si="9"/>
        <v>1.4462706625900674E-2</v>
      </c>
      <c r="M92">
        <f t="shared" si="10"/>
        <v>14.462706625900674</v>
      </c>
      <c r="N92">
        <f t="shared" si="11"/>
        <v>52.065743853242424</v>
      </c>
      <c r="O92">
        <f t="shared" si="12"/>
        <v>22.065743853242424</v>
      </c>
    </row>
    <row r="93" spans="1:15" x14ac:dyDescent="0.3">
      <c r="A93">
        <v>20</v>
      </c>
      <c r="B93">
        <v>4200.01</v>
      </c>
      <c r="C93">
        <v>20</v>
      </c>
      <c r="D93" t="s">
        <v>19</v>
      </c>
      <c r="E93" s="1">
        <v>4200.01</v>
      </c>
      <c r="F93">
        <v>100</v>
      </c>
      <c r="G93">
        <v>114</v>
      </c>
      <c r="H93">
        <v>4.5</v>
      </c>
      <c r="I93">
        <f t="shared" si="7"/>
        <v>0.105</v>
      </c>
      <c r="J93">
        <f t="shared" si="8"/>
        <v>8.6590147514568668E-3</v>
      </c>
      <c r="K93">
        <v>1</v>
      </c>
      <c r="L93">
        <f t="shared" si="9"/>
        <v>8.6590147514568668E-3</v>
      </c>
      <c r="M93">
        <f t="shared" si="10"/>
        <v>8.6590147514568674</v>
      </c>
      <c r="N93">
        <f t="shared" si="11"/>
        <v>31.17245310524472</v>
      </c>
      <c r="O93">
        <f t="shared" si="12"/>
        <v>11.17245310524472</v>
      </c>
    </row>
    <row r="94" spans="1:15" x14ac:dyDescent="0.3">
      <c r="A94">
        <v>4200.01</v>
      </c>
      <c r="B94">
        <v>4202</v>
      </c>
      <c r="C94">
        <v>10</v>
      </c>
      <c r="D94" t="s">
        <v>19</v>
      </c>
      <c r="E94" s="1">
        <v>4202</v>
      </c>
      <c r="F94">
        <v>65</v>
      </c>
      <c r="G94">
        <v>76.099999999999994</v>
      </c>
      <c r="H94">
        <v>3.6</v>
      </c>
      <c r="I94">
        <f t="shared" si="7"/>
        <v>6.8899999999999989E-2</v>
      </c>
      <c r="J94">
        <f t="shared" si="8"/>
        <v>3.728450015261999E-3</v>
      </c>
      <c r="K94">
        <v>1</v>
      </c>
      <c r="L94">
        <f t="shared" si="9"/>
        <v>3.728450015261999E-3</v>
      </c>
      <c r="M94">
        <f t="shared" si="10"/>
        <v>3.7284500152619988</v>
      </c>
      <c r="N94">
        <f t="shared" si="11"/>
        <v>13.422420054943197</v>
      </c>
      <c r="O94">
        <f t="shared" si="12"/>
        <v>3.4224200549431973</v>
      </c>
    </row>
    <row r="95" spans="1:15" x14ac:dyDescent="0.3">
      <c r="A95">
        <v>4200.01</v>
      </c>
      <c r="B95">
        <v>4201</v>
      </c>
      <c r="C95">
        <v>10</v>
      </c>
      <c r="D95" t="s">
        <v>19</v>
      </c>
      <c r="E95" s="1">
        <v>4201</v>
      </c>
      <c r="F95">
        <v>65</v>
      </c>
      <c r="G95">
        <v>76.099999999999994</v>
      </c>
      <c r="H95">
        <v>3.6</v>
      </c>
      <c r="I95">
        <f t="shared" si="7"/>
        <v>6.8899999999999989E-2</v>
      </c>
      <c r="J95">
        <f t="shared" si="8"/>
        <v>3.728450015261999E-3</v>
      </c>
      <c r="K95">
        <v>1</v>
      </c>
      <c r="L95">
        <f t="shared" si="9"/>
        <v>3.728450015261999E-3</v>
      </c>
      <c r="M95">
        <f t="shared" si="10"/>
        <v>3.7284500152619988</v>
      </c>
      <c r="N95">
        <f t="shared" si="11"/>
        <v>13.422420054943197</v>
      </c>
      <c r="O95">
        <f t="shared" si="12"/>
        <v>3.4224200549431973</v>
      </c>
    </row>
    <row r="96" spans="1:15" x14ac:dyDescent="0.3">
      <c r="A96">
        <v>21</v>
      </c>
      <c r="B96">
        <v>4300.01</v>
      </c>
      <c r="C96">
        <v>10</v>
      </c>
      <c r="D96" t="s">
        <v>19</v>
      </c>
      <c r="E96" s="1">
        <v>4300.01</v>
      </c>
      <c r="F96">
        <v>65</v>
      </c>
      <c r="G96">
        <v>76.099999999999994</v>
      </c>
      <c r="H96">
        <v>3.6</v>
      </c>
      <c r="I96">
        <f t="shared" si="7"/>
        <v>6.8899999999999989E-2</v>
      </c>
      <c r="J96">
        <f t="shared" si="8"/>
        <v>3.728450015261999E-3</v>
      </c>
      <c r="K96">
        <v>1</v>
      </c>
      <c r="L96">
        <f t="shared" si="9"/>
        <v>3.728450015261999E-3</v>
      </c>
      <c r="M96">
        <f t="shared" si="10"/>
        <v>3.7284500152619988</v>
      </c>
      <c r="N96">
        <f t="shared" si="11"/>
        <v>13.422420054943197</v>
      </c>
      <c r="O96">
        <f t="shared" si="12"/>
        <v>3.4224200549431973</v>
      </c>
    </row>
    <row r="97" spans="1:15" x14ac:dyDescent="0.3">
      <c r="A97">
        <v>4300.01</v>
      </c>
      <c r="B97">
        <v>4303</v>
      </c>
      <c r="C97">
        <v>5</v>
      </c>
      <c r="D97" t="s">
        <v>19</v>
      </c>
      <c r="E97" s="1">
        <v>4303</v>
      </c>
      <c r="F97">
        <v>50</v>
      </c>
      <c r="G97">
        <v>60.3</v>
      </c>
      <c r="H97">
        <v>3.6</v>
      </c>
      <c r="I97">
        <f t="shared" si="7"/>
        <v>5.3099999999999994E-2</v>
      </c>
      <c r="J97">
        <f t="shared" si="8"/>
        <v>2.2145165154970788E-3</v>
      </c>
      <c r="K97">
        <v>1</v>
      </c>
      <c r="L97">
        <f t="shared" si="9"/>
        <v>2.2145165154970788E-3</v>
      </c>
      <c r="M97">
        <f t="shared" si="10"/>
        <v>2.214516515497079</v>
      </c>
      <c r="N97">
        <f t="shared" si="11"/>
        <v>7.9722594557894837</v>
      </c>
      <c r="O97">
        <f t="shared" si="12"/>
        <v>2.9722594557894837</v>
      </c>
    </row>
    <row r="98" spans="1:15" x14ac:dyDescent="0.3">
      <c r="A98">
        <v>4300.01</v>
      </c>
      <c r="B98">
        <v>4304</v>
      </c>
      <c r="C98">
        <v>5</v>
      </c>
      <c r="D98" t="s">
        <v>19</v>
      </c>
      <c r="E98" s="1">
        <v>4304</v>
      </c>
      <c r="F98">
        <v>50</v>
      </c>
      <c r="G98">
        <v>60.3</v>
      </c>
      <c r="H98">
        <v>3.6</v>
      </c>
      <c r="I98">
        <f t="shared" si="7"/>
        <v>5.3099999999999994E-2</v>
      </c>
      <c r="J98">
        <f t="shared" si="8"/>
        <v>2.2145165154970788E-3</v>
      </c>
      <c r="K98">
        <v>1</v>
      </c>
      <c r="L98">
        <f t="shared" si="9"/>
        <v>2.2145165154970788E-3</v>
      </c>
      <c r="M98">
        <f t="shared" si="10"/>
        <v>2.214516515497079</v>
      </c>
      <c r="N98">
        <f t="shared" si="11"/>
        <v>7.9722594557894837</v>
      </c>
      <c r="O98">
        <f t="shared" si="12"/>
        <v>2.9722594557894837</v>
      </c>
    </row>
  </sheetData>
  <phoneticPr fontId="1" type="noConversion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Coronado</dc:creator>
  <cp:lastModifiedBy>Arnau Coronado</cp:lastModifiedBy>
  <dcterms:created xsi:type="dcterms:W3CDTF">2026-05-14T11:04:09Z</dcterms:created>
  <dcterms:modified xsi:type="dcterms:W3CDTF">2026-05-28T12:38:13Z</dcterms:modified>
</cp:coreProperties>
</file>
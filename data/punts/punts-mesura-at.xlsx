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uCoronado\Documents_local\euromed\sxs\data\punts\"/>
    </mc:Choice>
  </mc:AlternateContent>
  <xr:revisionPtr revIDLastSave="0" documentId="13_ncr:1_{AC1DE6AC-B306-46C9-8E6C-F02EE816B89E}" xr6:coauthVersionLast="47" xr6:coauthVersionMax="47" xr10:uidLastSave="{00000000-0000-0000-0000-000000000000}"/>
  <bookViews>
    <workbookView xWindow="-108" yWindow="-108" windowWidth="23256" windowHeight="13896" xr2:uid="{4CA701B3-5EB8-45D8-B6BB-1F057196BE44}"/>
  </bookViews>
  <sheets>
    <sheet name="Sheet1" sheetId="1" r:id="rId1"/>
  </sheets>
  <definedNames>
    <definedName name="_xlnm._FilterDatabase" localSheetId="0" hidden="1">Sheet1!$A$1:$P$1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4" i="1" l="1"/>
  <c r="O54" i="1" s="1"/>
  <c r="P54" i="1" s="1"/>
  <c r="E52" i="1"/>
  <c r="E53" i="1"/>
  <c r="E54" i="1"/>
  <c r="L47" i="1"/>
  <c r="O47" i="1" s="1"/>
  <c r="P47" i="1" s="1"/>
  <c r="L48" i="1"/>
  <c r="O48" i="1" s="1"/>
  <c r="P48" i="1" s="1"/>
  <c r="L49" i="1"/>
  <c r="O49" i="1" s="1"/>
  <c r="P49" i="1" s="1"/>
  <c r="L50" i="1"/>
  <c r="O50" i="1" s="1"/>
  <c r="P50" i="1" s="1"/>
  <c r="L51" i="1"/>
  <c r="O51" i="1" s="1"/>
  <c r="P51" i="1" s="1"/>
  <c r="L52" i="1"/>
  <c r="O52" i="1" s="1"/>
  <c r="P52" i="1" s="1"/>
  <c r="L53" i="1"/>
  <c r="O53" i="1" s="1"/>
  <c r="P53" i="1" s="1"/>
  <c r="F47" i="1"/>
  <c r="F51" i="1"/>
  <c r="F50" i="1"/>
  <c r="F49" i="1"/>
  <c r="F48" i="1"/>
  <c r="L44" i="1"/>
  <c r="O44" i="1" s="1"/>
  <c r="P44" i="1" s="1"/>
  <c r="L45" i="1"/>
  <c r="O45" i="1" s="1"/>
  <c r="P45" i="1" s="1"/>
  <c r="L46" i="1"/>
  <c r="O46" i="1" s="1"/>
  <c r="P46" i="1" s="1"/>
  <c r="L43" i="1"/>
  <c r="O43" i="1" s="1"/>
  <c r="P43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42" i="1"/>
  <c r="N2" i="1"/>
  <c r="E3" i="1"/>
  <c r="E2" i="1"/>
  <c r="L4" i="1"/>
  <c r="O4" i="1" l="1"/>
  <c r="L5" i="1"/>
  <c r="O5" i="1" s="1"/>
  <c r="L6" i="1"/>
  <c r="O6" i="1" s="1"/>
  <c r="L7" i="1"/>
  <c r="O7" i="1" s="1"/>
  <c r="P7" i="1" s="1"/>
  <c r="L8" i="1"/>
  <c r="O8" i="1" s="1"/>
  <c r="L9" i="1"/>
  <c r="O9" i="1" s="1"/>
  <c r="L10" i="1"/>
  <c r="O10" i="1" s="1"/>
  <c r="L11" i="1"/>
  <c r="O11" i="1" s="1"/>
  <c r="L12" i="1"/>
  <c r="O12" i="1" s="1"/>
  <c r="L13" i="1"/>
  <c r="O13" i="1" s="1"/>
  <c r="L14" i="1"/>
  <c r="O14" i="1" s="1"/>
  <c r="L15" i="1"/>
  <c r="O15" i="1" s="1"/>
  <c r="L19" i="1"/>
  <c r="O19" i="1" s="1"/>
  <c r="L22" i="1"/>
  <c r="O22" i="1" s="1"/>
  <c r="L16" i="1"/>
  <c r="O16" i="1" s="1"/>
  <c r="L17" i="1"/>
  <c r="O17" i="1" s="1"/>
  <c r="L20" i="1"/>
  <c r="O20" i="1" s="1"/>
  <c r="L21" i="1"/>
  <c r="O21" i="1" s="1"/>
  <c r="L18" i="1"/>
  <c r="O18" i="1" s="1"/>
  <c r="L25" i="1"/>
  <c r="O25" i="1" s="1"/>
  <c r="L23" i="1"/>
  <c r="O23" i="1" s="1"/>
  <c r="L24" i="1"/>
  <c r="O24" i="1" s="1"/>
  <c r="L26" i="1"/>
  <c r="O26" i="1" s="1"/>
  <c r="L27" i="1"/>
  <c r="O27" i="1" s="1"/>
  <c r="L32" i="1"/>
  <c r="O32" i="1" s="1"/>
  <c r="L33" i="1"/>
  <c r="O33" i="1" s="1"/>
  <c r="L29" i="1"/>
  <c r="O29" i="1" s="1"/>
  <c r="L30" i="1"/>
  <c r="O30" i="1" s="1"/>
  <c r="L31" i="1"/>
  <c r="O31" i="1" s="1"/>
  <c r="L34" i="1"/>
  <c r="O34" i="1" s="1"/>
  <c r="L28" i="1"/>
  <c r="O28" i="1" s="1"/>
  <c r="L42" i="1"/>
  <c r="O42" i="1" s="1"/>
  <c r="L2" i="1"/>
  <c r="O2" i="1" s="1"/>
  <c r="L3" i="1"/>
  <c r="O3" i="1" s="1"/>
  <c r="P4" i="1" l="1"/>
  <c r="P27" i="1"/>
  <c r="P23" i="1"/>
  <c r="P24" i="1"/>
  <c r="P25" i="1"/>
  <c r="P42" i="1"/>
  <c r="P2" i="1"/>
  <c r="P3" i="1"/>
  <c r="P12" i="1"/>
  <c r="P22" i="1"/>
  <c r="P21" i="1"/>
  <c r="P20" i="1"/>
  <c r="P19" i="1"/>
  <c r="P18" i="1"/>
  <c r="P17" i="1"/>
  <c r="P16" i="1"/>
  <c r="P15" i="1"/>
  <c r="P13" i="1"/>
  <c r="P14" i="1"/>
  <c r="P11" i="1"/>
  <c r="P26" i="1"/>
  <c r="P5" i="1"/>
  <c r="P6" i="1"/>
  <c r="P8" i="1"/>
  <c r="P9" i="1"/>
  <c r="P10" i="1"/>
  <c r="P28" i="1"/>
  <c r="P29" i="1"/>
  <c r="P30" i="1"/>
  <c r="P31" i="1"/>
  <c r="P32" i="1"/>
  <c r="P33" i="1"/>
  <c r="P34" i="1"/>
</calcChain>
</file>

<file path=xl/sharedStrings.xml><?xml version="1.0" encoding="utf-8"?>
<sst xmlns="http://schemas.openxmlformats.org/spreadsheetml/2006/main" count="254" uniqueCount="173">
  <si>
    <t>id</t>
  </si>
  <si>
    <t>EI-100</t>
  </si>
  <si>
    <t>id_vell</t>
  </si>
  <si>
    <t>AT-1</t>
  </si>
  <si>
    <t>AT-2</t>
  </si>
  <si>
    <t>AT-3</t>
  </si>
  <si>
    <t>AT-4</t>
  </si>
  <si>
    <t>AT-5</t>
  </si>
  <si>
    <t>AT-6</t>
  </si>
  <si>
    <t>AT-7</t>
  </si>
  <si>
    <t>DN</t>
  </si>
  <si>
    <t>PEC</t>
  </si>
  <si>
    <t>EI101</t>
  </si>
  <si>
    <t>EI102</t>
  </si>
  <si>
    <t>ED150</t>
  </si>
  <si>
    <t>EI150</t>
  </si>
  <si>
    <t>E150</t>
  </si>
  <si>
    <t>P200</t>
  </si>
  <si>
    <t>P201</t>
  </si>
  <si>
    <t>P202</t>
  </si>
  <si>
    <t>P304</t>
  </si>
  <si>
    <t>P303</t>
  </si>
  <si>
    <t>SI5003</t>
  </si>
  <si>
    <t>P300</t>
  </si>
  <si>
    <t>P600</t>
  </si>
  <si>
    <t>PI601</t>
  </si>
  <si>
    <t>E700</t>
  </si>
  <si>
    <t>E800</t>
  </si>
  <si>
    <t>EI806</t>
  </si>
  <si>
    <t>EI801</t>
  </si>
  <si>
    <t>EI-9061006</t>
  </si>
  <si>
    <t>EI-9001006</t>
  </si>
  <si>
    <t>EI-1001</t>
  </si>
  <si>
    <t>EI-901</t>
  </si>
  <si>
    <t>EI-9001000</t>
  </si>
  <si>
    <t>EI906</t>
  </si>
  <si>
    <t>EI1006</t>
  </si>
  <si>
    <t>Y120</t>
  </si>
  <si>
    <t>Y160170</t>
  </si>
  <si>
    <t>Y170</t>
  </si>
  <si>
    <t>Y160</t>
  </si>
  <si>
    <t>V700800</t>
  </si>
  <si>
    <t>EI701</t>
  </si>
  <si>
    <t>x</t>
  </si>
  <si>
    <t>y</t>
  </si>
  <si>
    <t>planta</t>
  </si>
  <si>
    <t>V-700/V-800</t>
  </si>
  <si>
    <t>E-700</t>
  </si>
  <si>
    <t>E-800</t>
  </si>
  <si>
    <t>E-900/E-1000</t>
  </si>
  <si>
    <t>P-600</t>
  </si>
  <si>
    <t>GF</t>
  </si>
  <si>
    <t>AT</t>
  </si>
  <si>
    <t>planta-numero</t>
  </si>
  <si>
    <t>material</t>
  </si>
  <si>
    <t>acer</t>
  </si>
  <si>
    <t>inox</t>
  </si>
  <si>
    <t>OD mm</t>
  </si>
  <si>
    <t>WT mm</t>
  </si>
  <si>
    <t>Flow velocity ms</t>
  </si>
  <si>
    <t>AT-01</t>
  </si>
  <si>
    <t>AT-02</t>
  </si>
  <si>
    <t>AT-03</t>
  </si>
  <si>
    <t>AT-04</t>
  </si>
  <si>
    <t>AT-05</t>
  </si>
  <si>
    <t>AT-06</t>
  </si>
  <si>
    <t>AT-07</t>
  </si>
  <si>
    <t>E-700-01</t>
  </si>
  <si>
    <t>E-700-08</t>
  </si>
  <si>
    <t>E-800-01</t>
  </si>
  <si>
    <t>E-800-02</t>
  </si>
  <si>
    <t>E-800-03</t>
  </si>
  <si>
    <t>E-900/E-1000-06</t>
  </si>
  <si>
    <t>E-900/E-1000-09</t>
  </si>
  <si>
    <t>E-900/E-1000-01</t>
  </si>
  <si>
    <t>E-900/E-1000-02</t>
  </si>
  <si>
    <t>E-900/E-1000-07</t>
  </si>
  <si>
    <t>E-900/E-1000-08</t>
  </si>
  <si>
    <t>E-900/E-1000-04</t>
  </si>
  <si>
    <t>GF-05</t>
  </si>
  <si>
    <t>GF-02</t>
  </si>
  <si>
    <t>GF-03</t>
  </si>
  <si>
    <t>P-600-01</t>
  </si>
  <si>
    <t>P-600-03</t>
  </si>
  <si>
    <t>PEC-05</t>
  </si>
  <si>
    <t>PEC-06</t>
  </si>
  <si>
    <t>PEC-02</t>
  </si>
  <si>
    <t>PEC-03</t>
  </si>
  <si>
    <t>PEC-04</t>
  </si>
  <si>
    <t>PEC-07</t>
  </si>
  <si>
    <t>PEC-01</t>
  </si>
  <si>
    <t>V-700/V-800-01</t>
  </si>
  <si>
    <t>E-70001</t>
  </si>
  <si>
    <t>E-12008</t>
  </si>
  <si>
    <t>E-80001</t>
  </si>
  <si>
    <t>E-80102</t>
  </si>
  <si>
    <t>E-80603</t>
  </si>
  <si>
    <t>E-100106</t>
  </si>
  <si>
    <t>E-100609</t>
  </si>
  <si>
    <t>E-90001</t>
  </si>
  <si>
    <t>E-90002</t>
  </si>
  <si>
    <t>E-90107</t>
  </si>
  <si>
    <t>E-90608</t>
  </si>
  <si>
    <t>E-90004</t>
  </si>
  <si>
    <t>Y-16005</t>
  </si>
  <si>
    <t>Y-10002</t>
  </si>
  <si>
    <t>Y-17003</t>
  </si>
  <si>
    <t>P-60001</t>
  </si>
  <si>
    <t>P-60103</t>
  </si>
  <si>
    <t>E-15005</t>
  </si>
  <si>
    <t>ED-15006</t>
  </si>
  <si>
    <t>EI-10002</t>
  </si>
  <si>
    <t>EI-10103</t>
  </si>
  <si>
    <t>EI-10204</t>
  </si>
  <si>
    <t>EI-15007</t>
  </si>
  <si>
    <t>E-10001</t>
  </si>
  <si>
    <t>P-20001</t>
  </si>
  <si>
    <t>P-20102</t>
  </si>
  <si>
    <t>P-20203</t>
  </si>
  <si>
    <t>P-30001</t>
  </si>
  <si>
    <t>P-500304</t>
  </si>
  <si>
    <t>V-70001</t>
  </si>
  <si>
    <t>BV-10501</t>
  </si>
  <si>
    <t>area m2</t>
  </si>
  <si>
    <t>volume flow rate m3s</t>
  </si>
  <si>
    <t>volume flow rate m3h</t>
  </si>
  <si>
    <t>BV-10906</t>
  </si>
  <si>
    <t>BV-10702</t>
  </si>
  <si>
    <t>BV-10603</t>
  </si>
  <si>
    <t>BV-10804</t>
  </si>
  <si>
    <t>BV-10405</t>
  </si>
  <si>
    <t>SS-700B</t>
  </si>
  <si>
    <t>EI-70101</t>
  </si>
  <si>
    <t>EI-70102</t>
  </si>
  <si>
    <t>measured speed</t>
  </si>
  <si>
    <t>GF-ASS</t>
  </si>
  <si>
    <t>GF-ASS-1</t>
  </si>
  <si>
    <t>GF-ASS-2</t>
  </si>
  <si>
    <t>GF-ASS-3</t>
  </si>
  <si>
    <t>GF-ASS-4</t>
  </si>
  <si>
    <t>Y-190-1</t>
  </si>
  <si>
    <t>Y-190-2</t>
  </si>
  <si>
    <t>Y-180-3</t>
  </si>
  <si>
    <t>Y-180-4</t>
  </si>
  <si>
    <t>Nautas</t>
  </si>
  <si>
    <t>SS-1000</t>
  </si>
  <si>
    <t>S-600</t>
  </si>
  <si>
    <t>SI-603</t>
  </si>
  <si>
    <t>S-2100/S-2200</t>
  </si>
  <si>
    <t>S-2100/S-2201</t>
  </si>
  <si>
    <t>S-2100/S-2202</t>
  </si>
  <si>
    <t>SI-2107</t>
  </si>
  <si>
    <t>SI-2x07</t>
  </si>
  <si>
    <t>SI-2207</t>
  </si>
  <si>
    <t>SS-800</t>
  </si>
  <si>
    <t>SS-80001</t>
  </si>
  <si>
    <t>SS-80102</t>
  </si>
  <si>
    <t>SS-80203</t>
  </si>
  <si>
    <t>SS800</t>
  </si>
  <si>
    <t>SS801</t>
  </si>
  <si>
    <t>SS802</t>
  </si>
  <si>
    <t>P-200</t>
  </si>
  <si>
    <t>P-200-02</t>
  </si>
  <si>
    <t>P-200-03</t>
  </si>
  <si>
    <t>P-200-01</t>
  </si>
  <si>
    <t>P-300</t>
  </si>
  <si>
    <t>P-300-03</t>
  </si>
  <si>
    <t>P-30403</t>
  </si>
  <si>
    <t>P-300-02</t>
  </si>
  <si>
    <t>P-30302</t>
  </si>
  <si>
    <t>P-300-01</t>
  </si>
  <si>
    <t>P-300-04</t>
  </si>
  <si>
    <t>id_vell_vell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</si>
</sst>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2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219E-119C-467C-9531-507D24E0A5C1}">
  <sheetPr>
    <pageSetUpPr fitToPage="1"/>
  </sheetPr>
  <dimension ref="A1:P54"/>
  <sheetViews>
    <sheetView tabSelected="1" topLeftCell="A28" zoomScale="85" zoomScaleNormal="85" workbookViewId="0">
      <selection activeCell="E61" sqref="E61"/>
    </sheetView>
  </sheetViews>
  <sheetFormatPr defaultRowHeight="14.4" x14ac:dyDescent="0.3"/>
  <cols>
    <col min="1" max="3" width="8.88671875" style="1" customWidth="1"/>
    <col min="4" max="4" width="13" style="1" customWidth="1"/>
    <col min="5" max="5" width="15.6640625" style="1" customWidth="1"/>
    <col min="6" max="6" width="10.33203125" style="1" customWidth="1"/>
    <col min="7" max="7" width="10.5546875" style="1" customWidth="1"/>
    <col min="8" max="8" width="5.44140625" style="1" customWidth="1"/>
    <col min="9" max="9" width="9.5546875" style="8" customWidth="1"/>
    <col min="10" max="10" width="8.21875" style="8" customWidth="1"/>
    <col min="11" max="11" width="11" style="1" customWidth="1"/>
    <col min="12" max="12" width="13.109375" style="1" customWidth="1"/>
    <col min="13" max="13" width="15.33203125" style="8" customWidth="1"/>
    <col min="14" max="14" width="17.109375" style="8" customWidth="1"/>
    <col min="15" max="15" width="21.44140625" style="1" customWidth="1"/>
    <col min="16" max="16" width="21.77734375" style="1" customWidth="1"/>
    <col min="17" max="16384" width="8.88671875" style="1"/>
  </cols>
  <sheetData>
    <row r="1" spans="1:16" x14ac:dyDescent="0.3">
      <c r="A1" s="2" t="s">
        <v>43</v>
      </c>
      <c r="B1" s="2" t="s">
        <v>44</v>
      </c>
      <c r="C1" s="2" t="s">
        <v>0</v>
      </c>
      <c r="D1" s="2" t="s">
        <v>45</v>
      </c>
      <c r="E1" s="2" t="s">
        <v>53</v>
      </c>
      <c r="F1" s="2" t="s">
        <v>2</v>
      </c>
      <c r="G1" s="2" t="s">
        <v>172</v>
      </c>
      <c r="H1" s="2" t="s">
        <v>10</v>
      </c>
      <c r="I1" s="4" t="s">
        <v>57</v>
      </c>
      <c r="J1" s="4" t="s">
        <v>58</v>
      </c>
      <c r="K1" s="2" t="s">
        <v>54</v>
      </c>
      <c r="L1" s="6" t="s">
        <v>123</v>
      </c>
      <c r="M1" s="6" t="s">
        <v>134</v>
      </c>
      <c r="N1" s="7" t="s">
        <v>59</v>
      </c>
      <c r="O1" s="6" t="s">
        <v>124</v>
      </c>
      <c r="P1" s="9" t="s">
        <v>125</v>
      </c>
    </row>
    <row r="2" spans="1:16" x14ac:dyDescent="0.3">
      <c r="A2" s="3">
        <v>0.45165189363416597</v>
      </c>
      <c r="B2" s="3">
        <v>0.44729344729344728</v>
      </c>
      <c r="C2" s="3">
        <v>5701</v>
      </c>
      <c r="D2" s="3" t="s">
        <v>131</v>
      </c>
      <c r="E2" s="3" t="str">
        <f>D2&amp;"-01"</f>
        <v>SS-700B-01</v>
      </c>
      <c r="F2" s="3" t="s">
        <v>132</v>
      </c>
      <c r="G2" s="3" t="s">
        <v>42</v>
      </c>
      <c r="H2" s="3">
        <v>100</v>
      </c>
      <c r="I2" s="5">
        <v>114</v>
      </c>
      <c r="J2" s="5">
        <v>4.5</v>
      </c>
      <c r="K2" s="3" t="s">
        <v>55</v>
      </c>
      <c r="L2" s="3">
        <f t="shared" ref="L2:L24" si="0">PI()*(((I2-2*J2)*10^-3)^2/4)</f>
        <v>8.6590147514568668E-3</v>
      </c>
      <c r="M2" s="5"/>
      <c r="N2" s="5">
        <f>IF(M2&gt;0, M2, 1)</f>
        <v>1</v>
      </c>
      <c r="O2" s="3">
        <f>N2*L2</f>
        <v>8.6590147514568668E-3</v>
      </c>
      <c r="P2" s="3">
        <f t="shared" ref="P2:P24" si="1">O2*3600</f>
        <v>31.17245310524472</v>
      </c>
    </row>
    <row r="3" spans="1:16" x14ac:dyDescent="0.3">
      <c r="A3" s="3">
        <v>0.45568090249798548</v>
      </c>
      <c r="B3" s="3">
        <v>0.44729344729344728</v>
      </c>
      <c r="C3" s="3">
        <v>5702</v>
      </c>
      <c r="D3" s="3" t="s">
        <v>131</v>
      </c>
      <c r="E3" s="3" t="str">
        <f>D3&amp;"-02"</f>
        <v>SS-700B-02</v>
      </c>
      <c r="F3" s="3" t="s">
        <v>133</v>
      </c>
      <c r="G3" s="3" t="s">
        <v>42</v>
      </c>
      <c r="H3" s="3">
        <v>80</v>
      </c>
      <c r="I3" s="5">
        <v>88.9</v>
      </c>
      <c r="J3" s="5">
        <v>4</v>
      </c>
      <c r="K3" s="3" t="s">
        <v>55</v>
      </c>
      <c r="L3" s="3">
        <f t="shared" si="0"/>
        <v>5.1402817537852556E-3</v>
      </c>
      <c r="M3" s="5"/>
      <c r="N3" s="5">
        <f t="shared" ref="N3:N42" si="2">IF(M3&gt;0, M3, 1)</f>
        <v>1</v>
      </c>
      <c r="O3" s="3">
        <f t="shared" ref="O3:O42" si="3">N3*L3</f>
        <v>5.1402817537852556E-3</v>
      </c>
      <c r="P3" s="3">
        <f t="shared" si="1"/>
        <v>18.505014313626919</v>
      </c>
    </row>
    <row r="4" spans="1:16" x14ac:dyDescent="0.3">
      <c r="A4" s="3">
        <v>0.14101531023368252</v>
      </c>
      <c r="B4" s="3">
        <v>7.4643874643874647E-2</v>
      </c>
      <c r="C4" s="3">
        <v>4701</v>
      </c>
      <c r="D4" s="3" t="s">
        <v>52</v>
      </c>
      <c r="E4" s="3" t="s">
        <v>60</v>
      </c>
      <c r="F4" s="3" t="s">
        <v>122</v>
      </c>
      <c r="G4" s="3" t="s">
        <v>3</v>
      </c>
      <c r="H4" s="3">
        <v>150</v>
      </c>
      <c r="I4" s="5">
        <v>168.3</v>
      </c>
      <c r="J4" s="5">
        <v>4.8</v>
      </c>
      <c r="K4" s="3" t="s">
        <v>55</v>
      </c>
      <c r="L4" s="3">
        <f t="shared" si="0"/>
        <v>1.9780794669897482E-2</v>
      </c>
      <c r="M4" s="5">
        <v>3</v>
      </c>
      <c r="N4" s="5">
        <f t="shared" si="2"/>
        <v>3</v>
      </c>
      <c r="O4" s="3">
        <f t="shared" si="3"/>
        <v>5.9342384009692446E-2</v>
      </c>
      <c r="P4" s="3">
        <f t="shared" si="1"/>
        <v>213.63258243489281</v>
      </c>
    </row>
    <row r="5" spans="1:16" x14ac:dyDescent="0.3">
      <c r="A5" s="3">
        <v>0.14907332796132153</v>
      </c>
      <c r="B5" s="3">
        <v>7.635327635327635E-2</v>
      </c>
      <c r="C5" s="3">
        <v>4702</v>
      </c>
      <c r="D5" s="3" t="s">
        <v>52</v>
      </c>
      <c r="E5" s="3" t="s">
        <v>61</v>
      </c>
      <c r="F5" s="3" t="s">
        <v>127</v>
      </c>
      <c r="G5" s="3" t="s">
        <v>4</v>
      </c>
      <c r="H5" s="3">
        <v>150</v>
      </c>
      <c r="I5" s="5">
        <v>168.3</v>
      </c>
      <c r="J5" s="5">
        <v>4.8</v>
      </c>
      <c r="K5" s="3" t="s">
        <v>55</v>
      </c>
      <c r="L5" s="3">
        <f t="shared" si="0"/>
        <v>1.9780794669897482E-2</v>
      </c>
      <c r="M5" s="5">
        <v>3</v>
      </c>
      <c r="N5" s="5">
        <f t="shared" si="2"/>
        <v>3</v>
      </c>
      <c r="O5" s="3">
        <f t="shared" si="3"/>
        <v>5.9342384009692446E-2</v>
      </c>
      <c r="P5" s="3">
        <f t="shared" si="1"/>
        <v>213.63258243489281</v>
      </c>
    </row>
    <row r="6" spans="1:16" x14ac:dyDescent="0.3">
      <c r="A6" s="3">
        <v>0.16035455278001612</v>
      </c>
      <c r="B6" s="3">
        <v>7.6923076923076927E-2</v>
      </c>
      <c r="C6" s="3">
        <v>4703</v>
      </c>
      <c r="D6" s="3" t="s">
        <v>52</v>
      </c>
      <c r="E6" s="3" t="s">
        <v>62</v>
      </c>
      <c r="F6" s="3" t="s">
        <v>128</v>
      </c>
      <c r="G6" s="3" t="s">
        <v>5</v>
      </c>
      <c r="H6" s="3">
        <v>150</v>
      </c>
      <c r="I6" s="5">
        <v>168.3</v>
      </c>
      <c r="J6" s="5">
        <v>4.8</v>
      </c>
      <c r="K6" s="3" t="s">
        <v>55</v>
      </c>
      <c r="L6" s="3">
        <f t="shared" si="0"/>
        <v>1.9780794669897482E-2</v>
      </c>
      <c r="M6" s="5">
        <v>3</v>
      </c>
      <c r="N6" s="5">
        <f t="shared" si="2"/>
        <v>3</v>
      </c>
      <c r="O6" s="3">
        <f t="shared" si="3"/>
        <v>5.9342384009692446E-2</v>
      </c>
      <c r="P6" s="3">
        <f t="shared" si="1"/>
        <v>213.63258243489281</v>
      </c>
    </row>
    <row r="7" spans="1:16" x14ac:dyDescent="0.3">
      <c r="A7" s="3">
        <v>0.16639806607574537</v>
      </c>
      <c r="B7" s="3">
        <v>7.8062678062678068E-2</v>
      </c>
      <c r="C7" s="3">
        <v>4704</v>
      </c>
      <c r="D7" s="3" t="s">
        <v>52</v>
      </c>
      <c r="E7" s="3" t="s">
        <v>63</v>
      </c>
      <c r="F7" s="3" t="s">
        <v>129</v>
      </c>
      <c r="G7" s="3" t="s">
        <v>6</v>
      </c>
      <c r="H7" s="3">
        <v>150</v>
      </c>
      <c r="I7" s="5">
        <v>168.3</v>
      </c>
      <c r="J7" s="5">
        <v>4.8</v>
      </c>
      <c r="K7" s="3" t="s">
        <v>55</v>
      </c>
      <c r="L7" s="3">
        <f t="shared" si="0"/>
        <v>1.9780794669897482E-2</v>
      </c>
      <c r="M7" s="5">
        <v>3.4</v>
      </c>
      <c r="N7" s="5">
        <f t="shared" si="2"/>
        <v>3.4</v>
      </c>
      <c r="O7" s="3">
        <f t="shared" si="3"/>
        <v>6.7254701877651438E-2</v>
      </c>
      <c r="P7" s="3">
        <f>O7*3600</f>
        <v>242.11692675954518</v>
      </c>
    </row>
    <row r="8" spans="1:16" x14ac:dyDescent="0.3">
      <c r="A8" s="3">
        <v>0.17324738114423852</v>
      </c>
      <c r="B8" s="3">
        <v>7.9772079772079771E-2</v>
      </c>
      <c r="C8" s="3">
        <v>4705</v>
      </c>
      <c r="D8" s="3" t="s">
        <v>52</v>
      </c>
      <c r="E8" s="3" t="s">
        <v>64</v>
      </c>
      <c r="F8" s="3" t="s">
        <v>130</v>
      </c>
      <c r="G8" s="3" t="s">
        <v>7</v>
      </c>
      <c r="H8" s="3">
        <v>150</v>
      </c>
      <c r="I8" s="5">
        <v>168.3</v>
      </c>
      <c r="J8" s="5">
        <v>4.8</v>
      </c>
      <c r="K8" s="3" t="s">
        <v>55</v>
      </c>
      <c r="L8" s="3">
        <f t="shared" si="0"/>
        <v>1.9780794669897482E-2</v>
      </c>
      <c r="M8" s="5">
        <v>3.4</v>
      </c>
      <c r="N8" s="5">
        <f t="shared" si="2"/>
        <v>3.4</v>
      </c>
      <c r="O8" s="3">
        <f t="shared" si="3"/>
        <v>6.7254701877651438E-2</v>
      </c>
      <c r="P8" s="3">
        <f t="shared" si="1"/>
        <v>242.11692675954518</v>
      </c>
    </row>
    <row r="9" spans="1:16" x14ac:dyDescent="0.3">
      <c r="A9" s="3">
        <v>0.19419822723609992</v>
      </c>
      <c r="B9" s="3">
        <v>6.7236467236467243E-2</v>
      </c>
      <c r="C9" s="3">
        <v>4706</v>
      </c>
      <c r="D9" s="3" t="s">
        <v>52</v>
      </c>
      <c r="E9" s="3" t="s">
        <v>65</v>
      </c>
      <c r="F9" s="3" t="s">
        <v>126</v>
      </c>
      <c r="G9" s="3" t="s">
        <v>8</v>
      </c>
      <c r="H9" s="3">
        <v>204</v>
      </c>
      <c r="I9" s="5">
        <v>204</v>
      </c>
      <c r="J9" s="5">
        <v>4.8</v>
      </c>
      <c r="K9" s="3" t="s">
        <v>56</v>
      </c>
      <c r="L9" s="3">
        <f t="shared" si="0"/>
        <v>2.9681264736291797E-2</v>
      </c>
      <c r="M9" s="5">
        <v>1.35</v>
      </c>
      <c r="N9" s="5">
        <f t="shared" si="2"/>
        <v>1.35</v>
      </c>
      <c r="O9" s="3">
        <f t="shared" si="3"/>
        <v>4.0069707393993931E-2</v>
      </c>
      <c r="P9" s="3">
        <f t="shared" si="1"/>
        <v>144.25094661837815</v>
      </c>
    </row>
    <row r="10" spans="1:16" x14ac:dyDescent="0.3">
      <c r="A10" s="3">
        <v>0.24174053182917002</v>
      </c>
      <c r="B10" s="3">
        <v>0.12250712250712251</v>
      </c>
      <c r="C10" s="3">
        <v>4707</v>
      </c>
      <c r="D10" s="3" t="s">
        <v>52</v>
      </c>
      <c r="E10" s="3" t="s">
        <v>66</v>
      </c>
      <c r="F10" s="3" t="s">
        <v>66</v>
      </c>
      <c r="G10" s="3" t="s">
        <v>9</v>
      </c>
      <c r="H10" s="3">
        <v>350</v>
      </c>
      <c r="I10" s="5">
        <v>355.6</v>
      </c>
      <c r="J10" s="5">
        <v>8</v>
      </c>
      <c r="K10" s="3" t="s">
        <v>55</v>
      </c>
      <c r="L10" s="3">
        <f t="shared" si="0"/>
        <v>9.0578525052007072E-2</v>
      </c>
      <c r="M10" s="5">
        <v>2.35</v>
      </c>
      <c r="N10" s="5">
        <f t="shared" si="2"/>
        <v>2.35</v>
      </c>
      <c r="O10" s="3">
        <f t="shared" si="3"/>
        <v>0.21285953387221662</v>
      </c>
      <c r="P10" s="3">
        <f t="shared" si="1"/>
        <v>766.2943219399798</v>
      </c>
    </row>
    <row r="11" spans="1:16" x14ac:dyDescent="0.3">
      <c r="A11" s="3">
        <v>0.41982272360999195</v>
      </c>
      <c r="B11" s="3">
        <v>0.44729344729344728</v>
      </c>
      <c r="C11" s="3">
        <v>3700</v>
      </c>
      <c r="D11" s="3" t="s">
        <v>47</v>
      </c>
      <c r="E11" s="3" t="s">
        <v>67</v>
      </c>
      <c r="F11" s="3" t="s">
        <v>92</v>
      </c>
      <c r="G11" s="3" t="s">
        <v>26</v>
      </c>
      <c r="H11" s="3">
        <v>200</v>
      </c>
      <c r="I11" s="5">
        <v>220</v>
      </c>
      <c r="J11" s="5"/>
      <c r="K11" s="3" t="s">
        <v>55</v>
      </c>
      <c r="L11" s="3">
        <f t="shared" si="0"/>
        <v>3.8013271108436497E-2</v>
      </c>
      <c r="M11" s="5"/>
      <c r="N11" s="5">
        <f t="shared" si="2"/>
        <v>1</v>
      </c>
      <c r="O11" s="3">
        <f t="shared" si="3"/>
        <v>3.8013271108436497E-2</v>
      </c>
      <c r="P11" s="3">
        <f t="shared" si="1"/>
        <v>136.84777599037139</v>
      </c>
    </row>
    <row r="12" spans="1:16" x14ac:dyDescent="0.3">
      <c r="A12" s="3">
        <v>0.4323126510878324</v>
      </c>
      <c r="B12" s="3">
        <v>0.61595441595441591</v>
      </c>
      <c r="C12" s="3">
        <v>1120</v>
      </c>
      <c r="D12" s="3" t="s">
        <v>47</v>
      </c>
      <c r="E12" s="3" t="s">
        <v>68</v>
      </c>
      <c r="F12" s="3" t="s">
        <v>93</v>
      </c>
      <c r="G12" s="3" t="s">
        <v>37</v>
      </c>
      <c r="H12" s="3">
        <v>125</v>
      </c>
      <c r="I12" s="5">
        <v>141</v>
      </c>
      <c r="J12" s="5">
        <v>5</v>
      </c>
      <c r="K12" s="3" t="s">
        <v>55</v>
      </c>
      <c r="L12" s="3">
        <f t="shared" si="0"/>
        <v>1.3478217882063612E-2</v>
      </c>
      <c r="M12" s="5"/>
      <c r="N12" s="5">
        <f t="shared" si="2"/>
        <v>1</v>
      </c>
      <c r="O12" s="3">
        <f t="shared" si="3"/>
        <v>1.3478217882063612E-2</v>
      </c>
      <c r="P12" s="3">
        <f t="shared" si="1"/>
        <v>48.521584375429001</v>
      </c>
    </row>
    <row r="13" spans="1:16" x14ac:dyDescent="0.3">
      <c r="A13" s="3">
        <v>0.61039484286865431</v>
      </c>
      <c r="B13" s="3">
        <v>0.51908831908831909</v>
      </c>
      <c r="C13" s="3">
        <v>3800</v>
      </c>
      <c r="D13" s="3" t="s">
        <v>48</v>
      </c>
      <c r="E13" s="3" t="s">
        <v>69</v>
      </c>
      <c r="F13" s="3" t="s">
        <v>94</v>
      </c>
      <c r="G13" s="3" t="s">
        <v>27</v>
      </c>
      <c r="H13" s="3">
        <v>155</v>
      </c>
      <c r="I13" s="5">
        <v>155</v>
      </c>
      <c r="J13" s="5">
        <v>1.8</v>
      </c>
      <c r="K13" s="3" t="s">
        <v>56</v>
      </c>
      <c r="L13" s="3">
        <f t="shared" si="0"/>
        <v>1.8002865285469776E-2</v>
      </c>
      <c r="M13" s="5">
        <v>0.7</v>
      </c>
      <c r="N13" s="5">
        <f t="shared" si="2"/>
        <v>0.7</v>
      </c>
      <c r="O13" s="3">
        <f t="shared" si="3"/>
        <v>1.2602005699828842E-2</v>
      </c>
      <c r="P13" s="3">
        <f t="shared" si="1"/>
        <v>45.367220519383828</v>
      </c>
    </row>
    <row r="14" spans="1:16" x14ac:dyDescent="0.3">
      <c r="A14" s="3">
        <v>0.60596293311845284</v>
      </c>
      <c r="B14" s="3">
        <v>0.55099715099715096</v>
      </c>
      <c r="C14" s="3">
        <v>3801</v>
      </c>
      <c r="D14" s="3" t="s">
        <v>48</v>
      </c>
      <c r="E14" s="3" t="s">
        <v>70</v>
      </c>
      <c r="F14" s="3" t="s">
        <v>95</v>
      </c>
      <c r="G14" s="3" t="s">
        <v>29</v>
      </c>
      <c r="H14" s="3">
        <v>80</v>
      </c>
      <c r="I14" s="5">
        <v>88.9</v>
      </c>
      <c r="J14" s="5">
        <v>2</v>
      </c>
      <c r="K14" s="3" t="s">
        <v>56</v>
      </c>
      <c r="L14" s="3">
        <f t="shared" si="0"/>
        <v>5.661157815750442E-3</v>
      </c>
      <c r="M14" s="5">
        <v>0.5</v>
      </c>
      <c r="N14" s="5">
        <f t="shared" si="2"/>
        <v>0.5</v>
      </c>
      <c r="O14" s="3">
        <f t="shared" si="3"/>
        <v>2.830578907875221E-3</v>
      </c>
      <c r="P14" s="3">
        <f t="shared" si="1"/>
        <v>10.190084068350796</v>
      </c>
    </row>
    <row r="15" spans="1:16" x14ac:dyDescent="0.3">
      <c r="A15" s="3">
        <v>0.61442385173247382</v>
      </c>
      <c r="B15" s="3">
        <v>0.54245014245014245</v>
      </c>
      <c r="C15" s="3">
        <v>3806</v>
      </c>
      <c r="D15" s="3" t="s">
        <v>48</v>
      </c>
      <c r="E15" s="3" t="s">
        <v>71</v>
      </c>
      <c r="F15" s="3" t="s">
        <v>96</v>
      </c>
      <c r="G15" s="3" t="s">
        <v>28</v>
      </c>
      <c r="H15" s="3">
        <v>125</v>
      </c>
      <c r="I15" s="5">
        <v>139.69999999999999</v>
      </c>
      <c r="J15" s="5">
        <v>2</v>
      </c>
      <c r="K15" s="3" t="s">
        <v>56</v>
      </c>
      <c r="L15" s="3">
        <f t="shared" si="0"/>
        <v>1.4462706625900674E-2</v>
      </c>
      <c r="M15" s="5">
        <v>0.62</v>
      </c>
      <c r="N15" s="5">
        <f t="shared" si="2"/>
        <v>0.62</v>
      </c>
      <c r="O15" s="3">
        <f t="shared" si="3"/>
        <v>8.9668781080584174E-3</v>
      </c>
      <c r="P15" s="3">
        <f t="shared" si="1"/>
        <v>32.280761189010306</v>
      </c>
    </row>
    <row r="16" spans="1:16" x14ac:dyDescent="0.3">
      <c r="A16" s="3">
        <v>0.45165189363416597</v>
      </c>
      <c r="B16" s="3">
        <v>0.47122507122507123</v>
      </c>
      <c r="C16" s="3">
        <v>3900</v>
      </c>
      <c r="D16" s="3" t="s">
        <v>49</v>
      </c>
      <c r="E16" s="3" t="s">
        <v>74</v>
      </c>
      <c r="F16" s="3" t="s">
        <v>99</v>
      </c>
      <c r="G16" s="3" t="s">
        <v>34</v>
      </c>
      <c r="H16" s="3">
        <v>204</v>
      </c>
      <c r="I16" s="5">
        <v>204</v>
      </c>
      <c r="J16" s="5">
        <v>2</v>
      </c>
      <c r="K16" s="3" t="s">
        <v>56</v>
      </c>
      <c r="L16" s="3">
        <f t="shared" si="0"/>
        <v>3.1415926535897934E-2</v>
      </c>
      <c r="M16" s="5"/>
      <c r="N16" s="5">
        <f t="shared" si="2"/>
        <v>1</v>
      </c>
      <c r="O16" s="3">
        <f t="shared" si="3"/>
        <v>3.1415926535897934E-2</v>
      </c>
      <c r="P16" s="3">
        <f t="shared" si="1"/>
        <v>113.09733552923257</v>
      </c>
    </row>
    <row r="17" spans="1:16" x14ac:dyDescent="0.3">
      <c r="A17" s="3">
        <v>0.54754230459307007</v>
      </c>
      <c r="B17" s="3">
        <v>0.54472934472934476</v>
      </c>
      <c r="C17" s="3">
        <v>3901</v>
      </c>
      <c r="D17" s="3" t="s">
        <v>49</v>
      </c>
      <c r="E17" s="3" t="s">
        <v>75</v>
      </c>
      <c r="F17" s="3" t="s">
        <v>100</v>
      </c>
      <c r="G17" s="3" t="s">
        <v>31</v>
      </c>
      <c r="H17" s="3">
        <v>204</v>
      </c>
      <c r="I17" s="5">
        <v>204</v>
      </c>
      <c r="J17" s="5">
        <v>2</v>
      </c>
      <c r="K17" s="3" t="s">
        <v>56</v>
      </c>
      <c r="L17" s="3">
        <f t="shared" si="0"/>
        <v>3.1415926535897934E-2</v>
      </c>
      <c r="M17" s="5">
        <v>2</v>
      </c>
      <c r="N17" s="5">
        <f t="shared" si="2"/>
        <v>2</v>
      </c>
      <c r="O17" s="3">
        <f t="shared" si="3"/>
        <v>6.2831853071795868E-2</v>
      </c>
      <c r="P17" s="3">
        <f t="shared" si="1"/>
        <v>226.19467105846513</v>
      </c>
    </row>
    <row r="18" spans="1:16" x14ac:dyDescent="0.3">
      <c r="A18" s="3">
        <v>0.54754230459307007</v>
      </c>
      <c r="B18" s="3">
        <v>0.66267806267806273</v>
      </c>
      <c r="C18" s="3">
        <v>3902</v>
      </c>
      <c r="D18" s="3" t="s">
        <v>49</v>
      </c>
      <c r="E18" s="3" t="s">
        <v>78</v>
      </c>
      <c r="F18" s="3" t="s">
        <v>103</v>
      </c>
      <c r="G18" s="3" t="s">
        <v>30</v>
      </c>
      <c r="H18" s="3">
        <v>155</v>
      </c>
      <c r="I18" s="5">
        <v>154</v>
      </c>
      <c r="J18" s="5">
        <v>2</v>
      </c>
      <c r="K18" s="3" t="s">
        <v>56</v>
      </c>
      <c r="L18" s="3">
        <f t="shared" si="0"/>
        <v>1.7671458676442587E-2</v>
      </c>
      <c r="M18" s="5">
        <v>2.8</v>
      </c>
      <c r="N18" s="5">
        <f t="shared" si="2"/>
        <v>2.8</v>
      </c>
      <c r="O18" s="3">
        <f t="shared" si="3"/>
        <v>4.9480084294039238E-2</v>
      </c>
      <c r="P18" s="3">
        <f t="shared" si="1"/>
        <v>178.12830345854127</v>
      </c>
    </row>
    <row r="19" spans="1:16" x14ac:dyDescent="0.3">
      <c r="A19" s="3">
        <v>0.5398871877518131</v>
      </c>
      <c r="B19" s="3">
        <v>0.5196581196581197</v>
      </c>
      <c r="C19" s="3">
        <v>3903</v>
      </c>
      <c r="D19" s="3" t="s">
        <v>49</v>
      </c>
      <c r="E19" s="3" t="s">
        <v>72</v>
      </c>
      <c r="F19" s="3" t="s">
        <v>97</v>
      </c>
      <c r="G19" s="3" t="s">
        <v>32</v>
      </c>
      <c r="H19" s="3">
        <v>80</v>
      </c>
      <c r="I19" s="5">
        <v>88.9</v>
      </c>
      <c r="J19" s="5">
        <v>2</v>
      </c>
      <c r="K19" s="3" t="s">
        <v>56</v>
      </c>
      <c r="L19" s="3">
        <f t="shared" si="0"/>
        <v>5.661157815750442E-3</v>
      </c>
      <c r="M19" s="5"/>
      <c r="N19" s="5">
        <f t="shared" si="2"/>
        <v>1</v>
      </c>
      <c r="O19" s="3">
        <f t="shared" si="3"/>
        <v>5.661157815750442E-3</v>
      </c>
      <c r="P19" s="3">
        <f t="shared" si="1"/>
        <v>20.380168136701592</v>
      </c>
    </row>
    <row r="20" spans="1:16" x14ac:dyDescent="0.3">
      <c r="A20" s="3">
        <v>0.53867848509266725</v>
      </c>
      <c r="B20" s="3">
        <v>0.57150997150997151</v>
      </c>
      <c r="C20" s="3">
        <v>3904</v>
      </c>
      <c r="D20" s="3" t="s">
        <v>49</v>
      </c>
      <c r="E20" s="3" t="s">
        <v>76</v>
      </c>
      <c r="F20" s="3" t="s">
        <v>101</v>
      </c>
      <c r="G20" s="3" t="s">
        <v>33</v>
      </c>
      <c r="H20" s="3">
        <v>80</v>
      </c>
      <c r="I20" s="5">
        <v>88.9</v>
      </c>
      <c r="J20" s="5">
        <v>2</v>
      </c>
      <c r="K20" s="3" t="s">
        <v>56</v>
      </c>
      <c r="L20" s="3">
        <f t="shared" si="0"/>
        <v>5.661157815750442E-3</v>
      </c>
      <c r="M20" s="5"/>
      <c r="N20" s="5">
        <f t="shared" si="2"/>
        <v>1</v>
      </c>
      <c r="O20" s="3">
        <f t="shared" si="3"/>
        <v>5.661157815750442E-3</v>
      </c>
      <c r="P20" s="3">
        <f t="shared" si="1"/>
        <v>20.380168136701592</v>
      </c>
    </row>
    <row r="21" spans="1:16" x14ac:dyDescent="0.3">
      <c r="A21" s="3">
        <v>0.5423045930701047</v>
      </c>
      <c r="B21" s="3">
        <v>0.71794871794871795</v>
      </c>
      <c r="C21" s="3">
        <v>3905</v>
      </c>
      <c r="D21" s="3" t="s">
        <v>49</v>
      </c>
      <c r="E21" s="3" t="s">
        <v>77</v>
      </c>
      <c r="F21" s="3" t="s">
        <v>102</v>
      </c>
      <c r="G21" s="3" t="s">
        <v>35</v>
      </c>
      <c r="H21" s="3">
        <v>125</v>
      </c>
      <c r="I21" s="5">
        <v>139.69999999999999</v>
      </c>
      <c r="J21" s="5">
        <v>2</v>
      </c>
      <c r="K21" s="3" t="s">
        <v>56</v>
      </c>
      <c r="L21" s="3">
        <f t="shared" si="0"/>
        <v>1.4462706625900674E-2</v>
      </c>
      <c r="M21" s="5">
        <v>1.8</v>
      </c>
      <c r="N21" s="5">
        <f t="shared" si="2"/>
        <v>1.8</v>
      </c>
      <c r="O21" s="3">
        <f t="shared" si="3"/>
        <v>2.6032871926621213E-2</v>
      </c>
      <c r="P21" s="3">
        <f t="shared" si="1"/>
        <v>93.718338935836371</v>
      </c>
    </row>
    <row r="22" spans="1:16" x14ac:dyDescent="0.3">
      <c r="A22" s="3">
        <v>0.5423045930701047</v>
      </c>
      <c r="B22" s="3">
        <v>0.67635327635327636</v>
      </c>
      <c r="C22" s="3">
        <v>3906</v>
      </c>
      <c r="D22" s="3" t="s">
        <v>49</v>
      </c>
      <c r="E22" s="3" t="s">
        <v>73</v>
      </c>
      <c r="F22" s="3" t="s">
        <v>98</v>
      </c>
      <c r="G22" s="3" t="s">
        <v>36</v>
      </c>
      <c r="H22" s="3">
        <v>125</v>
      </c>
      <c r="I22" s="5">
        <v>139.69999999999999</v>
      </c>
      <c r="J22" s="5">
        <v>2</v>
      </c>
      <c r="K22" s="3" t="s">
        <v>56</v>
      </c>
      <c r="L22" s="3">
        <f t="shared" si="0"/>
        <v>1.4462706625900674E-2</v>
      </c>
      <c r="M22" s="5">
        <v>0.9</v>
      </c>
      <c r="N22" s="5">
        <f t="shared" si="2"/>
        <v>0.9</v>
      </c>
      <c r="O22" s="3">
        <f t="shared" si="3"/>
        <v>1.3016435963310606E-2</v>
      </c>
      <c r="P22" s="3">
        <f t="shared" si="1"/>
        <v>46.859169467918186</v>
      </c>
    </row>
    <row r="23" spans="1:16" x14ac:dyDescent="0.3">
      <c r="A23" s="3">
        <v>0.41257050765511682</v>
      </c>
      <c r="B23" s="3">
        <v>0.6541310541310541</v>
      </c>
      <c r="C23" s="3">
        <v>4706</v>
      </c>
      <c r="D23" s="3" t="s">
        <v>51</v>
      </c>
      <c r="E23" s="3" t="s">
        <v>80</v>
      </c>
      <c r="F23" s="3" t="s">
        <v>105</v>
      </c>
      <c r="G23" s="3" t="s">
        <v>38</v>
      </c>
      <c r="H23" s="3">
        <v>204</v>
      </c>
      <c r="I23" s="5">
        <v>204</v>
      </c>
      <c r="J23" s="5">
        <v>2</v>
      </c>
      <c r="K23" s="3" t="s">
        <v>56</v>
      </c>
      <c r="L23" s="3">
        <f t="shared" si="0"/>
        <v>3.1415926535897934E-2</v>
      </c>
      <c r="M23" s="5"/>
      <c r="N23" s="5">
        <f t="shared" si="2"/>
        <v>1</v>
      </c>
      <c r="O23" s="3">
        <f t="shared" si="3"/>
        <v>3.1415926535897934E-2</v>
      </c>
      <c r="P23" s="3">
        <f t="shared" si="1"/>
        <v>113.09733552923257</v>
      </c>
    </row>
    <row r="24" spans="1:16" x14ac:dyDescent="0.3">
      <c r="A24" s="3">
        <v>0.41257050765511682</v>
      </c>
      <c r="B24" s="3">
        <v>0.70256410256410251</v>
      </c>
      <c r="C24" s="3">
        <v>1170</v>
      </c>
      <c r="D24" s="3" t="s">
        <v>51</v>
      </c>
      <c r="E24" s="3" t="s">
        <v>81</v>
      </c>
      <c r="F24" s="3" t="s">
        <v>106</v>
      </c>
      <c r="G24" s="3" t="s">
        <v>39</v>
      </c>
      <c r="H24" s="3">
        <v>100</v>
      </c>
      <c r="I24" s="5">
        <v>114</v>
      </c>
      <c r="J24" s="5">
        <v>2</v>
      </c>
      <c r="K24" s="3" t="s">
        <v>56</v>
      </c>
      <c r="L24" s="3">
        <f t="shared" si="0"/>
        <v>9.5033177771091243E-3</v>
      </c>
      <c r="M24" s="5"/>
      <c r="N24" s="5">
        <f t="shared" si="2"/>
        <v>1</v>
      </c>
      <c r="O24" s="3">
        <f t="shared" si="3"/>
        <v>9.5033177771091243E-3</v>
      </c>
      <c r="P24" s="3">
        <f t="shared" si="1"/>
        <v>34.211943997592847</v>
      </c>
    </row>
    <row r="25" spans="1:16" x14ac:dyDescent="0.3">
      <c r="A25" s="3">
        <v>0.41095890410958902</v>
      </c>
      <c r="B25" s="3">
        <v>0.66894586894586894</v>
      </c>
      <c r="C25" s="3">
        <v>1160</v>
      </c>
      <c r="D25" s="3" t="s">
        <v>51</v>
      </c>
      <c r="E25" s="3" t="s">
        <v>79</v>
      </c>
      <c r="F25" s="3" t="s">
        <v>104</v>
      </c>
      <c r="G25" s="3" t="s">
        <v>40</v>
      </c>
      <c r="H25" s="3">
        <v>129</v>
      </c>
      <c r="I25" s="5">
        <v>129</v>
      </c>
      <c r="J25" s="5">
        <v>2</v>
      </c>
      <c r="K25" s="3" t="s">
        <v>56</v>
      </c>
      <c r="L25" s="3">
        <f t="shared" ref="L25:L42" si="4">PI()*(((I25-2*J25)*10^-3)^2/4)</f>
        <v>1.2271846303085129E-2</v>
      </c>
      <c r="M25" s="5"/>
      <c r="N25" s="5">
        <f t="shared" si="2"/>
        <v>1</v>
      </c>
      <c r="O25" s="3">
        <f t="shared" si="3"/>
        <v>1.2271846303085129E-2</v>
      </c>
      <c r="P25" s="3">
        <f t="shared" ref="P25:P42" si="5">O25*3600</f>
        <v>44.178646691106465</v>
      </c>
    </row>
    <row r="26" spans="1:16" x14ac:dyDescent="0.3">
      <c r="A26" s="3">
        <v>0.49717969379532634</v>
      </c>
      <c r="B26" s="3">
        <v>0.72421652421652427</v>
      </c>
      <c r="C26" s="3">
        <v>4500</v>
      </c>
      <c r="D26" s="3" t="s">
        <v>50</v>
      </c>
      <c r="E26" s="3" t="s">
        <v>82</v>
      </c>
      <c r="F26" s="3" t="s">
        <v>107</v>
      </c>
      <c r="G26" s="3" t="s">
        <v>24</v>
      </c>
      <c r="H26" s="3">
        <v>50</v>
      </c>
      <c r="I26" s="5">
        <v>60.3</v>
      </c>
      <c r="J26" s="5">
        <v>3.6</v>
      </c>
      <c r="K26" s="3" t="s">
        <v>55</v>
      </c>
      <c r="L26" s="3">
        <f t="shared" si="4"/>
        <v>2.2145165154970788E-3</v>
      </c>
      <c r="M26" s="5"/>
      <c r="N26" s="5">
        <f t="shared" si="2"/>
        <v>1</v>
      </c>
      <c r="O26" s="3">
        <f t="shared" si="3"/>
        <v>2.2145165154970788E-3</v>
      </c>
      <c r="P26" s="3">
        <f t="shared" si="5"/>
        <v>7.9722594557894837</v>
      </c>
    </row>
    <row r="27" spans="1:16" x14ac:dyDescent="0.3">
      <c r="A27" s="3">
        <v>0.48992747784045126</v>
      </c>
      <c r="B27" s="3">
        <v>0.67464387464387465</v>
      </c>
      <c r="C27" s="3">
        <v>4501</v>
      </c>
      <c r="D27" s="3" t="s">
        <v>50</v>
      </c>
      <c r="E27" s="3" t="s">
        <v>83</v>
      </c>
      <c r="F27" s="3" t="s">
        <v>108</v>
      </c>
      <c r="G27" s="3" t="s">
        <v>25</v>
      </c>
      <c r="H27" s="3">
        <v>50</v>
      </c>
      <c r="I27" s="5">
        <v>60.3</v>
      </c>
      <c r="J27" s="5">
        <v>3.6</v>
      </c>
      <c r="K27" s="3" t="s">
        <v>55</v>
      </c>
      <c r="L27" s="3">
        <f t="shared" si="4"/>
        <v>2.2145165154970788E-3</v>
      </c>
      <c r="M27" s="5"/>
      <c r="N27" s="5">
        <f t="shared" si="2"/>
        <v>1</v>
      </c>
      <c r="O27" s="3">
        <f t="shared" si="3"/>
        <v>2.2145165154970788E-3</v>
      </c>
      <c r="P27" s="3">
        <f t="shared" si="5"/>
        <v>7.9722594557894837</v>
      </c>
    </row>
    <row r="28" spans="1:16" x14ac:dyDescent="0.3">
      <c r="A28" s="3">
        <v>0.60032232070910552</v>
      </c>
      <c r="B28" s="3">
        <v>0.17720797720797721</v>
      </c>
      <c r="C28" s="3">
        <v>3100</v>
      </c>
      <c r="D28" s="3" t="s">
        <v>11</v>
      </c>
      <c r="E28" s="3" t="s">
        <v>90</v>
      </c>
      <c r="F28" s="3" t="s">
        <v>115</v>
      </c>
      <c r="G28" s="3" t="s">
        <v>11</v>
      </c>
      <c r="H28" s="3">
        <v>200</v>
      </c>
      <c r="I28" s="5">
        <v>220</v>
      </c>
      <c r="J28" s="5"/>
      <c r="K28" s="3" t="s">
        <v>55</v>
      </c>
      <c r="L28" s="3">
        <f t="shared" si="4"/>
        <v>3.8013271108436497E-2</v>
      </c>
      <c r="M28" s="5">
        <v>0.9</v>
      </c>
      <c r="N28" s="5">
        <f t="shared" si="2"/>
        <v>0.9</v>
      </c>
      <c r="O28" s="3">
        <f t="shared" si="3"/>
        <v>3.421194399759285E-2</v>
      </c>
      <c r="P28" s="3">
        <f t="shared" si="5"/>
        <v>123.16299839133426</v>
      </c>
    </row>
    <row r="29" spans="1:16" x14ac:dyDescent="0.3">
      <c r="A29" s="3">
        <v>0.62570507655116836</v>
      </c>
      <c r="B29" s="3">
        <v>0.19658119658119658</v>
      </c>
      <c r="C29" s="3">
        <v>3103</v>
      </c>
      <c r="D29" s="3" t="s">
        <v>11</v>
      </c>
      <c r="E29" s="3" t="s">
        <v>86</v>
      </c>
      <c r="F29" s="3" t="s">
        <v>111</v>
      </c>
      <c r="G29" s="3" t="s">
        <v>1</v>
      </c>
      <c r="H29" s="3">
        <v>125</v>
      </c>
      <c r="I29" s="5">
        <v>141</v>
      </c>
      <c r="J29" s="5">
        <v>5</v>
      </c>
      <c r="K29" s="3" t="s">
        <v>55</v>
      </c>
      <c r="L29" s="3">
        <f t="shared" si="4"/>
        <v>1.3478217882063612E-2</v>
      </c>
      <c r="M29" s="5">
        <v>1.9</v>
      </c>
      <c r="N29" s="5">
        <f t="shared" si="2"/>
        <v>1.9</v>
      </c>
      <c r="O29" s="3">
        <f t="shared" si="3"/>
        <v>2.560861397592086E-2</v>
      </c>
      <c r="P29" s="3">
        <f t="shared" si="5"/>
        <v>92.191010313315104</v>
      </c>
    </row>
    <row r="30" spans="1:16" x14ac:dyDescent="0.3">
      <c r="A30" s="3">
        <v>0.61804995970991139</v>
      </c>
      <c r="B30" s="3">
        <v>0.24843304843304842</v>
      </c>
      <c r="C30" s="3">
        <v>3101</v>
      </c>
      <c r="D30" s="3" t="s">
        <v>11</v>
      </c>
      <c r="E30" s="3" t="s">
        <v>87</v>
      </c>
      <c r="F30" s="3" t="s">
        <v>112</v>
      </c>
      <c r="G30" s="3" t="s">
        <v>12</v>
      </c>
      <c r="H30" s="3">
        <v>80</v>
      </c>
      <c r="I30" s="5">
        <v>88.9</v>
      </c>
      <c r="J30" s="5">
        <v>4</v>
      </c>
      <c r="K30" s="3" t="s">
        <v>55</v>
      </c>
      <c r="L30" s="3">
        <f t="shared" si="4"/>
        <v>5.1402817537852556E-3</v>
      </c>
      <c r="M30" s="5">
        <v>3</v>
      </c>
      <c r="N30" s="5">
        <f t="shared" si="2"/>
        <v>3</v>
      </c>
      <c r="O30" s="3">
        <f t="shared" si="3"/>
        <v>1.5420845261355766E-2</v>
      </c>
      <c r="P30" s="3">
        <f t="shared" si="5"/>
        <v>55.515042940880754</v>
      </c>
    </row>
    <row r="31" spans="1:16" x14ac:dyDescent="0.3">
      <c r="A31" s="3">
        <v>0.62087026591458505</v>
      </c>
      <c r="B31" s="3">
        <v>0.27122507122507122</v>
      </c>
      <c r="C31" s="3">
        <v>3102</v>
      </c>
      <c r="D31" s="3" t="s">
        <v>11</v>
      </c>
      <c r="E31" s="3" t="s">
        <v>88</v>
      </c>
      <c r="F31" s="3" t="s">
        <v>113</v>
      </c>
      <c r="G31" s="3" t="s">
        <v>13</v>
      </c>
      <c r="H31" s="3">
        <v>80</v>
      </c>
      <c r="I31" s="5">
        <v>88.9</v>
      </c>
      <c r="J31" s="5">
        <v>4</v>
      </c>
      <c r="K31" s="3" t="s">
        <v>55</v>
      </c>
      <c r="L31" s="3">
        <f t="shared" si="4"/>
        <v>5.1402817537852556E-3</v>
      </c>
      <c r="M31" s="5">
        <v>0.46</v>
      </c>
      <c r="N31" s="5">
        <f t="shared" si="2"/>
        <v>0.46</v>
      </c>
      <c r="O31" s="3">
        <f t="shared" si="3"/>
        <v>2.3645296067412178E-3</v>
      </c>
      <c r="P31" s="3">
        <f t="shared" si="5"/>
        <v>8.5123065842683836</v>
      </c>
    </row>
    <row r="32" spans="1:16" x14ac:dyDescent="0.3">
      <c r="A32" s="3">
        <v>0.63255439161966154</v>
      </c>
      <c r="B32" s="3">
        <v>0.21652421652421652</v>
      </c>
      <c r="C32" s="3">
        <v>3150</v>
      </c>
      <c r="D32" s="3" t="s">
        <v>11</v>
      </c>
      <c r="E32" s="3" t="s">
        <v>84</v>
      </c>
      <c r="F32" s="3" t="s">
        <v>109</v>
      </c>
      <c r="G32" s="3" t="s">
        <v>16</v>
      </c>
      <c r="H32" s="3">
        <v>200</v>
      </c>
      <c r="I32" s="5">
        <v>220</v>
      </c>
      <c r="J32" s="5"/>
      <c r="K32" s="3" t="s">
        <v>55</v>
      </c>
      <c r="L32" s="3">
        <f t="shared" si="4"/>
        <v>3.8013271108436497E-2</v>
      </c>
      <c r="M32" s="5"/>
      <c r="N32" s="5">
        <f t="shared" si="2"/>
        <v>1</v>
      </c>
      <c r="O32" s="3">
        <f t="shared" si="3"/>
        <v>3.8013271108436497E-2</v>
      </c>
      <c r="P32" s="3">
        <f t="shared" si="5"/>
        <v>136.84777599037139</v>
      </c>
    </row>
    <row r="33" spans="1:16" x14ac:dyDescent="0.3">
      <c r="A33" s="3">
        <v>0.64464141821112009</v>
      </c>
      <c r="B33" s="3">
        <v>0.25413105413105413</v>
      </c>
      <c r="C33" s="3">
        <v>3151</v>
      </c>
      <c r="D33" s="3" t="s">
        <v>11</v>
      </c>
      <c r="E33" s="3" t="s">
        <v>85</v>
      </c>
      <c r="F33" s="3" t="s">
        <v>110</v>
      </c>
      <c r="G33" s="3" t="s">
        <v>14</v>
      </c>
      <c r="H33" s="3">
        <v>50</v>
      </c>
      <c r="I33" s="5">
        <v>60.3</v>
      </c>
      <c r="J33" s="5">
        <v>3.6</v>
      </c>
      <c r="K33" s="3" t="s">
        <v>55</v>
      </c>
      <c r="L33" s="3">
        <f t="shared" si="4"/>
        <v>2.2145165154970788E-3</v>
      </c>
      <c r="M33" s="5"/>
      <c r="N33" s="5">
        <f t="shared" si="2"/>
        <v>1</v>
      </c>
      <c r="O33" s="3">
        <f t="shared" si="3"/>
        <v>2.2145165154970788E-3</v>
      </c>
      <c r="P33" s="3">
        <f t="shared" si="5"/>
        <v>7.9722594557894837</v>
      </c>
    </row>
    <row r="34" spans="1:16" x14ac:dyDescent="0.3">
      <c r="A34" s="3">
        <v>0.68573730862207893</v>
      </c>
      <c r="B34" s="3">
        <v>0.26381766381766381</v>
      </c>
      <c r="C34" s="3">
        <v>3152</v>
      </c>
      <c r="D34" s="3" t="s">
        <v>11</v>
      </c>
      <c r="E34" s="3" t="s">
        <v>89</v>
      </c>
      <c r="F34" s="3" t="s">
        <v>114</v>
      </c>
      <c r="G34" s="3" t="s">
        <v>15</v>
      </c>
      <c r="H34" s="3">
        <v>50</v>
      </c>
      <c r="I34" s="5">
        <v>60.3</v>
      </c>
      <c r="J34" s="5">
        <v>3.6</v>
      </c>
      <c r="K34" s="3" t="s">
        <v>55</v>
      </c>
      <c r="L34" s="3">
        <f t="shared" si="4"/>
        <v>2.2145165154970788E-3</v>
      </c>
      <c r="M34" s="5">
        <v>3</v>
      </c>
      <c r="N34" s="5">
        <f t="shared" si="2"/>
        <v>3</v>
      </c>
      <c r="O34" s="3">
        <f t="shared" si="3"/>
        <v>6.6435495464912363E-3</v>
      </c>
      <c r="P34" s="3">
        <f t="shared" si="5"/>
        <v>23.916778367368451</v>
      </c>
    </row>
    <row r="35" spans="1:16" x14ac:dyDescent="0.3">
      <c r="A35" s="3">
        <v>0.70064464141821114</v>
      </c>
      <c r="B35" s="3">
        <v>0.54529914529914525</v>
      </c>
      <c r="C35" s="3">
        <v>4201</v>
      </c>
      <c r="D35" s="3" t="s">
        <v>161</v>
      </c>
      <c r="E35" s="3" t="s">
        <v>162</v>
      </c>
      <c r="F35" s="3" t="s">
        <v>117</v>
      </c>
      <c r="G35" s="3" t="s">
        <v>18</v>
      </c>
      <c r="H35" s="3">
        <v>65</v>
      </c>
      <c r="I35" s="5">
        <v>76.099999999999994</v>
      </c>
      <c r="J35" s="5">
        <v>3.6</v>
      </c>
      <c r="K35" s="3" t="s">
        <v>55</v>
      </c>
      <c r="L35" s="3">
        <v>3.728450015261999E-3</v>
      </c>
      <c r="M35" s="5">
        <v>1.1000000000000001</v>
      </c>
      <c r="N35" s="5">
        <v>1.1000000000000001</v>
      </c>
      <c r="O35" s="3">
        <v>4.1012950167881989E-3</v>
      </c>
      <c r="P35" s="3">
        <v>14.764662060437516</v>
      </c>
    </row>
    <row r="36" spans="1:16" x14ac:dyDescent="0.3">
      <c r="A36" s="3">
        <v>0.70427074939564871</v>
      </c>
      <c r="B36" s="3">
        <v>0.52307692307692311</v>
      </c>
      <c r="C36" s="3">
        <v>4202</v>
      </c>
      <c r="D36" s="3" t="s">
        <v>161</v>
      </c>
      <c r="E36" s="3" t="s">
        <v>163</v>
      </c>
      <c r="F36" s="3" t="s">
        <v>118</v>
      </c>
      <c r="G36" s="3" t="s">
        <v>19</v>
      </c>
      <c r="H36" s="3">
        <v>65</v>
      </c>
      <c r="I36" s="5">
        <v>76.099999999999994</v>
      </c>
      <c r="J36" s="5">
        <v>3.6</v>
      </c>
      <c r="K36" s="3" t="s">
        <v>55</v>
      </c>
      <c r="L36" s="3">
        <v>3.728450015261999E-3</v>
      </c>
      <c r="M36" s="5">
        <v>1</v>
      </c>
      <c r="N36" s="5">
        <v>1</v>
      </c>
      <c r="O36" s="3">
        <v>3.728450015261999E-3</v>
      </c>
      <c r="P36" s="3">
        <v>13.422420054943197</v>
      </c>
    </row>
    <row r="37" spans="1:16" x14ac:dyDescent="0.3">
      <c r="A37" s="3">
        <v>0.70668815471394042</v>
      </c>
      <c r="B37" s="3">
        <v>0.50980056980056987</v>
      </c>
      <c r="C37" s="3">
        <v>4200</v>
      </c>
      <c r="D37" s="3" t="s">
        <v>161</v>
      </c>
      <c r="E37" s="3" t="s">
        <v>164</v>
      </c>
      <c r="F37" s="3" t="s">
        <v>116</v>
      </c>
      <c r="G37" s="3" t="s">
        <v>17</v>
      </c>
      <c r="H37" s="3">
        <v>100</v>
      </c>
      <c r="I37" s="5">
        <v>114</v>
      </c>
      <c r="J37" s="5">
        <v>4.5</v>
      </c>
      <c r="K37" s="3" t="s">
        <v>55</v>
      </c>
      <c r="L37" s="3">
        <v>8.6590147514568668E-3</v>
      </c>
      <c r="M37" s="5"/>
      <c r="N37" s="5">
        <v>1</v>
      </c>
      <c r="O37" s="3">
        <v>8.6590147514568668E-3</v>
      </c>
      <c r="P37" s="3">
        <v>31.17245310524472</v>
      </c>
    </row>
    <row r="38" spans="1:16" x14ac:dyDescent="0.3">
      <c r="A38" s="3">
        <v>0.75423045930701049</v>
      </c>
      <c r="B38" s="3">
        <v>0.53789173789173794</v>
      </c>
      <c r="C38" s="3">
        <v>4304</v>
      </c>
      <c r="D38" s="3" t="s">
        <v>165</v>
      </c>
      <c r="E38" s="3" t="s">
        <v>166</v>
      </c>
      <c r="F38" s="3" t="s">
        <v>167</v>
      </c>
      <c r="G38" s="3" t="s">
        <v>20</v>
      </c>
      <c r="H38" s="3">
        <v>50</v>
      </c>
      <c r="I38" s="5">
        <v>60.3</v>
      </c>
      <c r="J38" s="5">
        <v>3.6</v>
      </c>
      <c r="K38" s="3" t="s">
        <v>55</v>
      </c>
      <c r="L38" s="3">
        <v>2.2145165154970788E-3</v>
      </c>
      <c r="M38" s="5"/>
      <c r="N38" s="5">
        <v>1</v>
      </c>
      <c r="O38" s="3">
        <v>2.2145165154970788E-3</v>
      </c>
      <c r="P38" s="3">
        <v>7.9722594557894837</v>
      </c>
    </row>
    <row r="39" spans="1:16" x14ac:dyDescent="0.3">
      <c r="A39" s="3">
        <v>0.75463336019339244</v>
      </c>
      <c r="B39" s="3">
        <v>0.56182336182336179</v>
      </c>
      <c r="C39" s="3">
        <v>4303</v>
      </c>
      <c r="D39" s="3" t="s">
        <v>165</v>
      </c>
      <c r="E39" s="3" t="s">
        <v>168</v>
      </c>
      <c r="F39" s="3" t="s">
        <v>169</v>
      </c>
      <c r="G39" s="3" t="s">
        <v>21</v>
      </c>
      <c r="H39" s="3">
        <v>50</v>
      </c>
      <c r="I39" s="5">
        <v>60.3</v>
      </c>
      <c r="J39" s="5">
        <v>3.6</v>
      </c>
      <c r="K39" s="3" t="s">
        <v>55</v>
      </c>
      <c r="L39" s="3">
        <v>2.2145165154970788E-3</v>
      </c>
      <c r="M39" s="5"/>
      <c r="N39" s="5">
        <v>1</v>
      </c>
      <c r="O39" s="3">
        <v>2.2145165154970788E-3</v>
      </c>
      <c r="P39" s="3">
        <v>7.9722594557894837</v>
      </c>
    </row>
    <row r="40" spans="1:16" x14ac:dyDescent="0.3">
      <c r="A40" s="3">
        <v>0.76027397260273977</v>
      </c>
      <c r="B40" s="3">
        <v>0.51111111111111107</v>
      </c>
      <c r="C40" s="3">
        <v>4300</v>
      </c>
      <c r="D40" s="3" t="s">
        <v>165</v>
      </c>
      <c r="E40" s="3" t="s">
        <v>170</v>
      </c>
      <c r="F40" s="3" t="s">
        <v>119</v>
      </c>
      <c r="G40" s="3" t="s">
        <v>23</v>
      </c>
      <c r="H40" s="3">
        <v>65</v>
      </c>
      <c r="I40" s="5">
        <v>76.099999999999994</v>
      </c>
      <c r="J40" s="5">
        <v>3.6</v>
      </c>
      <c r="K40" s="3" t="s">
        <v>55</v>
      </c>
      <c r="L40" s="3">
        <v>3.728450015261999E-3</v>
      </c>
      <c r="M40" s="5"/>
      <c r="N40" s="5">
        <v>1</v>
      </c>
      <c r="O40" s="3">
        <v>3.728450015261999E-3</v>
      </c>
      <c r="P40" s="3">
        <v>13.422420054943197</v>
      </c>
    </row>
    <row r="41" spans="1:16" x14ac:dyDescent="0.3">
      <c r="A41" s="3">
        <v>0.77356970185334406</v>
      </c>
      <c r="B41" s="3">
        <v>0.56980056980056981</v>
      </c>
      <c r="C41" s="3">
        <v>4305</v>
      </c>
      <c r="D41" s="3" t="s">
        <v>165</v>
      </c>
      <c r="E41" s="3" t="s">
        <v>171</v>
      </c>
      <c r="F41" s="3" t="s">
        <v>120</v>
      </c>
      <c r="G41" s="3" t="s">
        <v>22</v>
      </c>
      <c r="H41" s="3">
        <v>32</v>
      </c>
      <c r="I41" s="5">
        <v>42.2</v>
      </c>
      <c r="J41" s="5">
        <v>3.2</v>
      </c>
      <c r="K41" s="3" t="s">
        <v>56</v>
      </c>
      <c r="L41" s="3">
        <v>1.0065977021367059E-3</v>
      </c>
      <c r="M41" s="5"/>
      <c r="N41" s="5">
        <v>1</v>
      </c>
      <c r="O41" s="3">
        <v>1.0065977021367059E-3</v>
      </c>
      <c r="P41" s="3">
        <v>3.6237517276921412</v>
      </c>
    </row>
    <row r="42" spans="1:16" x14ac:dyDescent="0.3">
      <c r="A42" s="3">
        <v>0.39605157131345686</v>
      </c>
      <c r="B42" s="3">
        <v>0.54245014245014245</v>
      </c>
      <c r="C42" s="3">
        <v>4700</v>
      </c>
      <c r="D42" s="3" t="s">
        <v>46</v>
      </c>
      <c r="E42" s="3" t="s">
        <v>91</v>
      </c>
      <c r="F42" s="3" t="s">
        <v>121</v>
      </c>
      <c r="G42" s="3" t="s">
        <v>41</v>
      </c>
      <c r="H42" s="3">
        <v>150</v>
      </c>
      <c r="I42" s="5">
        <v>168.3</v>
      </c>
      <c r="J42" s="5">
        <v>5</v>
      </c>
      <c r="K42" s="3" t="s">
        <v>55</v>
      </c>
      <c r="L42" s="3">
        <f t="shared" si="4"/>
        <v>1.9681206182778688E-2</v>
      </c>
      <c r="M42" s="5"/>
      <c r="N42" s="5">
        <f t="shared" si="2"/>
        <v>1</v>
      </c>
      <c r="O42" s="3">
        <f t="shared" si="3"/>
        <v>1.9681206182778688E-2</v>
      </c>
      <c r="P42" s="3">
        <f t="shared" si="5"/>
        <v>70.852342258003276</v>
      </c>
    </row>
    <row r="43" spans="1:16" x14ac:dyDescent="0.3">
      <c r="A43" s="3">
        <v>9.2999999999999999E-2</v>
      </c>
      <c r="B43" s="3">
        <v>0.15759699999999999</v>
      </c>
      <c r="C43" s="3">
        <v>1191</v>
      </c>
      <c r="D43" s="3" t="s">
        <v>135</v>
      </c>
      <c r="E43" s="3" t="s">
        <v>136</v>
      </c>
      <c r="F43" s="3" t="s">
        <v>140</v>
      </c>
      <c r="G43" s="3"/>
      <c r="H43" s="3">
        <v>65</v>
      </c>
      <c r="I43" s="3">
        <v>76.099999999999994</v>
      </c>
      <c r="J43" s="3">
        <v>3.6</v>
      </c>
      <c r="K43" s="3" t="s">
        <v>55</v>
      </c>
      <c r="L43" s="3">
        <f t="shared" ref="L43:L54" si="6">PI()*(((I43-2*J43)*10^-3)^2/4)</f>
        <v>3.728450015261999E-3</v>
      </c>
      <c r="M43" s="3"/>
      <c r="N43" s="3">
        <v>1</v>
      </c>
      <c r="O43" s="3">
        <f t="shared" ref="O43:O54" si="7">N43*L43</f>
        <v>3.728450015261999E-3</v>
      </c>
      <c r="P43" s="3">
        <f t="shared" ref="P43:P46" si="8">O43*3600</f>
        <v>13.422420054943197</v>
      </c>
    </row>
    <row r="44" spans="1:16" x14ac:dyDescent="0.3">
      <c r="A44" s="3">
        <v>9.7000000000000003E-2</v>
      </c>
      <c r="B44" s="3">
        <v>0.168905</v>
      </c>
      <c r="C44" s="3">
        <v>1192</v>
      </c>
      <c r="D44" s="3" t="s">
        <v>135</v>
      </c>
      <c r="E44" s="3" t="s">
        <v>137</v>
      </c>
      <c r="F44" s="3" t="s">
        <v>141</v>
      </c>
      <c r="G44" s="3"/>
      <c r="H44" s="3">
        <v>65</v>
      </c>
      <c r="I44" s="3">
        <v>76.099999999999994</v>
      </c>
      <c r="J44" s="3">
        <v>3.6</v>
      </c>
      <c r="K44" s="3" t="s">
        <v>55</v>
      </c>
      <c r="L44" s="3">
        <f t="shared" si="6"/>
        <v>3.728450015261999E-3</v>
      </c>
      <c r="M44" s="3"/>
      <c r="N44" s="3">
        <v>1</v>
      </c>
      <c r="O44" s="3">
        <f t="shared" si="7"/>
        <v>3.728450015261999E-3</v>
      </c>
      <c r="P44" s="3">
        <f t="shared" si="8"/>
        <v>13.422420054943197</v>
      </c>
    </row>
    <row r="45" spans="1:16" x14ac:dyDescent="0.3">
      <c r="A45" s="3">
        <v>9.1499999999999998E-2</v>
      </c>
      <c r="B45" s="3">
        <v>0.20494699999999999</v>
      </c>
      <c r="C45" s="3">
        <v>1181</v>
      </c>
      <c r="D45" s="3" t="s">
        <v>135</v>
      </c>
      <c r="E45" s="3" t="s">
        <v>138</v>
      </c>
      <c r="F45" s="3" t="s">
        <v>142</v>
      </c>
      <c r="G45" s="3"/>
      <c r="H45" s="3">
        <v>65</v>
      </c>
      <c r="I45" s="3">
        <v>76.099999999999994</v>
      </c>
      <c r="J45" s="3">
        <v>3.6</v>
      </c>
      <c r="K45" s="3" t="s">
        <v>55</v>
      </c>
      <c r="L45" s="3">
        <f t="shared" si="6"/>
        <v>3.728450015261999E-3</v>
      </c>
      <c r="M45" s="3"/>
      <c r="N45" s="3">
        <v>1</v>
      </c>
      <c r="O45" s="3">
        <f t="shared" si="7"/>
        <v>3.728450015261999E-3</v>
      </c>
      <c r="P45" s="3">
        <f t="shared" si="8"/>
        <v>13.422420054943197</v>
      </c>
    </row>
    <row r="46" spans="1:16" x14ac:dyDescent="0.3">
      <c r="A46" s="3">
        <v>9.6000000000000002E-2</v>
      </c>
      <c r="B46" s="3">
        <v>0.21696099999999999</v>
      </c>
      <c r="C46" s="3">
        <v>1182</v>
      </c>
      <c r="D46" s="3" t="s">
        <v>135</v>
      </c>
      <c r="E46" s="3" t="s">
        <v>139</v>
      </c>
      <c r="F46" s="3" t="s">
        <v>143</v>
      </c>
      <c r="G46" s="3"/>
      <c r="H46" s="3">
        <v>65</v>
      </c>
      <c r="I46" s="3">
        <v>76.099999999999994</v>
      </c>
      <c r="J46" s="3">
        <v>3.6</v>
      </c>
      <c r="K46" s="3" t="s">
        <v>55</v>
      </c>
      <c r="L46" s="3">
        <f t="shared" si="6"/>
        <v>3.728450015261999E-3</v>
      </c>
      <c r="M46" s="3"/>
      <c r="N46" s="3">
        <v>1</v>
      </c>
      <c r="O46" s="3">
        <f t="shared" si="7"/>
        <v>3.728450015261999E-3</v>
      </c>
      <c r="P46" s="3">
        <f t="shared" si="8"/>
        <v>13.422420054943197</v>
      </c>
    </row>
    <row r="47" spans="1:16" x14ac:dyDescent="0.3">
      <c r="A47" s="3">
        <v>0.307</v>
      </c>
      <c r="B47" s="3">
        <v>0.16678399999999999</v>
      </c>
      <c r="C47" s="3">
        <v>53000</v>
      </c>
      <c r="D47" s="3" t="s">
        <v>144</v>
      </c>
      <c r="E47" s="3" t="s">
        <v>145</v>
      </c>
      <c r="F47" s="3" t="str">
        <f>E47&amp;"02"</f>
        <v>SS-100002</v>
      </c>
      <c r="G47" s="3"/>
      <c r="H47" s="3">
        <v>50</v>
      </c>
      <c r="I47" s="3">
        <v>60.3</v>
      </c>
      <c r="J47" s="3">
        <v>3.6</v>
      </c>
      <c r="K47" s="3"/>
      <c r="L47" s="3">
        <f t="shared" si="6"/>
        <v>2.2145165154970788E-3</v>
      </c>
      <c r="M47" s="3"/>
      <c r="N47" s="3">
        <v>1</v>
      </c>
      <c r="O47" s="3">
        <f t="shared" si="7"/>
        <v>2.2145165154970788E-3</v>
      </c>
      <c r="P47" s="3">
        <f t="shared" ref="P47:P54" si="9">O47*3600</f>
        <v>7.9722594557894837</v>
      </c>
    </row>
    <row r="48" spans="1:16" x14ac:dyDescent="0.3">
      <c r="A48" s="3">
        <v>0.14549999999999999</v>
      </c>
      <c r="B48" s="3">
        <v>0.46148400000000001</v>
      </c>
      <c r="C48" s="3">
        <v>5600</v>
      </c>
      <c r="D48" s="3" t="s">
        <v>146</v>
      </c>
      <c r="E48" s="3" t="s">
        <v>147</v>
      </c>
      <c r="F48" s="3" t="str">
        <f>E48&amp;1</f>
        <v>SI-6031</v>
      </c>
      <c r="G48" s="3"/>
      <c r="H48" s="3">
        <v>65</v>
      </c>
      <c r="I48" s="3">
        <v>76.099999999999994</v>
      </c>
      <c r="J48" s="3">
        <v>3.6</v>
      </c>
      <c r="K48" s="3"/>
      <c r="L48" s="3">
        <f t="shared" si="6"/>
        <v>3.728450015261999E-3</v>
      </c>
      <c r="M48" s="3"/>
      <c r="N48" s="3">
        <v>1</v>
      </c>
      <c r="O48" s="3">
        <f t="shared" si="7"/>
        <v>3.728450015261999E-3</v>
      </c>
      <c r="P48" s="3">
        <f t="shared" si="9"/>
        <v>13.422420054943197</v>
      </c>
    </row>
    <row r="49" spans="1:16" x14ac:dyDescent="0.3">
      <c r="A49" s="3">
        <v>0.1225</v>
      </c>
      <c r="B49" s="3">
        <v>0.68551200000000001</v>
      </c>
      <c r="C49" s="3">
        <v>52107</v>
      </c>
      <c r="D49" s="3" t="s">
        <v>148</v>
      </c>
      <c r="E49" s="3" t="s">
        <v>151</v>
      </c>
      <c r="F49" s="3" t="str">
        <f>E49&amp;"01"</f>
        <v>SI-210701</v>
      </c>
      <c r="G49" s="3"/>
      <c r="H49" s="3">
        <v>65</v>
      </c>
      <c r="I49" s="3">
        <v>76.099999999999994</v>
      </c>
      <c r="J49" s="3">
        <v>3.6</v>
      </c>
      <c r="K49" s="3"/>
      <c r="L49" s="3">
        <f t="shared" si="6"/>
        <v>3.728450015261999E-3</v>
      </c>
      <c r="M49" s="3"/>
      <c r="N49" s="3">
        <v>1</v>
      </c>
      <c r="O49" s="3">
        <f t="shared" si="7"/>
        <v>3.728450015261999E-3</v>
      </c>
      <c r="P49" s="3">
        <f t="shared" si="9"/>
        <v>13.422420054943197</v>
      </c>
    </row>
    <row r="50" spans="1:16" x14ac:dyDescent="0.3">
      <c r="A50" s="3">
        <v>0.111</v>
      </c>
      <c r="B50" s="3">
        <v>0.67349800000000004</v>
      </c>
      <c r="C50" s="3">
        <v>52207</v>
      </c>
      <c r="D50" s="3" t="s">
        <v>149</v>
      </c>
      <c r="E50" s="3" t="s">
        <v>153</v>
      </c>
      <c r="F50" s="3" t="str">
        <f>E50&amp;"02"</f>
        <v>SI-220702</v>
      </c>
      <c r="G50" s="3"/>
      <c r="H50" s="3">
        <v>50</v>
      </c>
      <c r="I50" s="3">
        <v>60.3</v>
      </c>
      <c r="J50" s="3">
        <v>3.6</v>
      </c>
      <c r="K50" s="3"/>
      <c r="L50" s="3">
        <f t="shared" si="6"/>
        <v>2.2145165154970788E-3</v>
      </c>
      <c r="M50" s="3"/>
      <c r="N50" s="3">
        <v>1</v>
      </c>
      <c r="O50" s="3">
        <f t="shared" si="7"/>
        <v>2.2145165154970788E-3</v>
      </c>
      <c r="P50" s="3">
        <f t="shared" si="9"/>
        <v>7.9722594557894837</v>
      </c>
    </row>
    <row r="51" spans="1:16" x14ac:dyDescent="0.3">
      <c r="A51" s="3">
        <v>7.85E-2</v>
      </c>
      <c r="B51" s="3">
        <v>0.66855100000000001</v>
      </c>
      <c r="C51" s="3">
        <v>52101</v>
      </c>
      <c r="D51" s="3" t="s">
        <v>150</v>
      </c>
      <c r="E51" s="3" t="s">
        <v>152</v>
      </c>
      <c r="F51" s="3" t="str">
        <f>E51&amp;"03"</f>
        <v>SI-2x0703</v>
      </c>
      <c r="G51" s="3"/>
      <c r="H51" s="3">
        <v>80</v>
      </c>
      <c r="I51" s="3">
        <v>88.9</v>
      </c>
      <c r="J51" s="3">
        <v>3.6</v>
      </c>
      <c r="K51" s="3"/>
      <c r="L51" s="3">
        <f t="shared" si="6"/>
        <v>5.2424463468799948E-3</v>
      </c>
      <c r="M51" s="3"/>
      <c r="N51" s="3">
        <v>1</v>
      </c>
      <c r="O51" s="3">
        <f t="shared" si="7"/>
        <v>5.2424463468799948E-3</v>
      </c>
      <c r="P51" s="3">
        <f t="shared" si="9"/>
        <v>18.872806848767983</v>
      </c>
    </row>
    <row r="52" spans="1:16" x14ac:dyDescent="0.3">
      <c r="A52" s="3">
        <v>0.40400000000000003</v>
      </c>
      <c r="B52" s="3">
        <v>0.42699999999999999</v>
      </c>
      <c r="C52" s="3">
        <v>5800</v>
      </c>
      <c r="D52" s="3" t="s">
        <v>154</v>
      </c>
      <c r="E52" s="3" t="str">
        <f>D52&amp;"-1"</f>
        <v>SS-800-1</v>
      </c>
      <c r="F52" s="3" t="s">
        <v>155</v>
      </c>
      <c r="G52" s="3" t="s">
        <v>158</v>
      </c>
      <c r="H52" s="3">
        <v>100</v>
      </c>
      <c r="I52" s="3">
        <v>114</v>
      </c>
      <c r="J52" s="3"/>
      <c r="K52" s="3"/>
      <c r="L52" s="3">
        <f t="shared" si="6"/>
        <v>1.0207034531513238E-2</v>
      </c>
      <c r="M52" s="3"/>
      <c r="N52" s="3">
        <v>1</v>
      </c>
      <c r="O52" s="3">
        <f t="shared" si="7"/>
        <v>1.0207034531513238E-2</v>
      </c>
      <c r="P52" s="3">
        <f t="shared" si="9"/>
        <v>36.745324313447661</v>
      </c>
    </row>
    <row r="53" spans="1:16" x14ac:dyDescent="0.3">
      <c r="A53" s="3">
        <v>0.39800000000000002</v>
      </c>
      <c r="B53" s="3">
        <v>0.40600000000000003</v>
      </c>
      <c r="C53" s="3">
        <v>5801</v>
      </c>
      <c r="D53" s="3" t="s">
        <v>154</v>
      </c>
      <c r="E53" s="3" t="str">
        <f>D53&amp;"-2"</f>
        <v>SS-800-2</v>
      </c>
      <c r="F53" s="3" t="s">
        <v>156</v>
      </c>
      <c r="G53" s="3" t="s">
        <v>159</v>
      </c>
      <c r="H53" s="3">
        <v>80</v>
      </c>
      <c r="I53" s="3">
        <v>88.9</v>
      </c>
      <c r="J53" s="3"/>
      <c r="K53" s="3"/>
      <c r="L53" s="3">
        <f t="shared" si="6"/>
        <v>6.2071666189443481E-3</v>
      </c>
      <c r="M53" s="3"/>
      <c r="N53" s="3">
        <v>1</v>
      </c>
      <c r="O53" s="3">
        <f t="shared" si="7"/>
        <v>6.2071666189443481E-3</v>
      </c>
      <c r="P53" s="3">
        <f t="shared" si="9"/>
        <v>22.345799828199652</v>
      </c>
    </row>
    <row r="54" spans="1:16" x14ac:dyDescent="0.3">
      <c r="A54" s="3">
        <v>0.4</v>
      </c>
      <c r="B54" s="3">
        <v>0.38600000000000001</v>
      </c>
      <c r="C54" s="3">
        <v>5802</v>
      </c>
      <c r="D54" s="3" t="s">
        <v>154</v>
      </c>
      <c r="E54" s="3" t="str">
        <f>D54&amp;"-3"</f>
        <v>SS-800-3</v>
      </c>
      <c r="F54" s="3" t="s">
        <v>157</v>
      </c>
      <c r="G54" s="3" t="s">
        <v>160</v>
      </c>
      <c r="H54" s="3">
        <v>50</v>
      </c>
      <c r="I54" s="3">
        <v>60.3</v>
      </c>
      <c r="J54" s="3"/>
      <c r="K54" s="3"/>
      <c r="L54" s="3">
        <f t="shared" si="6"/>
        <v>2.8557784079478277E-3</v>
      </c>
      <c r="M54" s="3"/>
      <c r="N54" s="3">
        <v>1</v>
      </c>
      <c r="O54" s="3">
        <f t="shared" si="7"/>
        <v>2.8557784079478277E-3</v>
      </c>
      <c r="P54" s="3">
        <f t="shared" si="9"/>
        <v>10.280802268612179</v>
      </c>
    </row>
  </sheetData>
  <autoFilter ref="A1:P1" xr:uid="{80D9219E-119C-467C-9531-507D24E0A5C1}">
    <sortState xmlns:xlrd2="http://schemas.microsoft.com/office/spreadsheetml/2017/richdata2" ref="A2:P71">
      <sortCondition ref="E1"/>
    </sortState>
  </autoFilter>
  <sortState xmlns:xlrd2="http://schemas.microsoft.com/office/spreadsheetml/2017/richdata2" ref="E53:E54">
    <sortCondition ref="E53:E54"/>
  </sortState>
  <phoneticPr fontId="1" type="noConversion"/>
  <pageMargins left="0.7" right="0.7" top="0.75" bottom="0.75" header="0.3" footer="0.3"/>
  <pageSetup paperSize="9" scale="2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Coronado</dc:creator>
  <cp:lastModifiedBy>Arnau Coronado</cp:lastModifiedBy>
  <cp:lastPrinted>2026-05-05T06:40:59Z</cp:lastPrinted>
  <dcterms:created xsi:type="dcterms:W3CDTF">2026-03-03T10:12:00Z</dcterms:created>
  <dcterms:modified xsi:type="dcterms:W3CDTF">2026-05-06T15:05:41Z</dcterms:modified>
</cp:coreProperties>
</file>
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38500FEB-CCA3-4CEE-9122-AF8D0AB1588E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7" i="1"/>
  <c r="Q9" i="1"/>
  <c r="Q11" i="1"/>
  <c r="Q12" i="1"/>
  <c r="P3" i="1"/>
  <c r="P4" i="1"/>
  <c r="P7" i="1"/>
  <c r="P9" i="1"/>
  <c r="P11" i="1"/>
  <c r="P12" i="1"/>
  <c r="P2" i="1"/>
  <c r="O3" i="1"/>
  <c r="O4" i="1"/>
  <c r="O7" i="1"/>
  <c r="O9" i="1"/>
  <c r="O11" i="1"/>
  <c r="O12" i="1"/>
  <c r="M2" i="1"/>
  <c r="O2" i="1" s="1"/>
  <c r="M3" i="1"/>
  <c r="M4" i="1"/>
  <c r="M5" i="1"/>
  <c r="M6" i="1"/>
  <c r="O6" i="1" s="1"/>
  <c r="P6" i="1" s="1"/>
  <c r="Q6" i="1" s="1"/>
  <c r="M7" i="1"/>
  <c r="M8" i="1"/>
  <c r="O8" i="1" s="1"/>
  <c r="P8" i="1" s="1"/>
  <c r="Q8" i="1" s="1"/>
  <c r="M9" i="1"/>
  <c r="M10" i="1"/>
  <c r="M11" i="1"/>
  <c r="M12" i="1"/>
  <c r="K3" i="1" l="1"/>
  <c r="K4" i="1"/>
  <c r="K5" i="1"/>
  <c r="K6" i="1"/>
  <c r="K7" i="1"/>
  <c r="K8" i="1"/>
  <c r="K9" i="1"/>
  <c r="K10" i="1"/>
  <c r="K11" i="1"/>
  <c r="K12" i="1"/>
  <c r="K2" i="1"/>
</calcChain>
</file>

<file path=xl/sharedStrings.xml><?xml version="1.0" encoding="utf-8"?>
<sst xmlns="http://schemas.openxmlformats.org/spreadsheetml/2006/main" count="91" uniqueCount="57">
  <si>
    <t>id</t>
  </si>
  <si>
    <t>source</t>
  </si>
  <si>
    <t>target</t>
  </si>
  <si>
    <t>OD</t>
  </si>
  <si>
    <t>area</t>
  </si>
  <si>
    <t>id_vell</t>
  </si>
  <si>
    <t>colector</t>
  </si>
  <si>
    <t>DN</t>
  </si>
  <si>
    <t>WT</t>
  </si>
  <si>
    <t>PEC</t>
  </si>
  <si>
    <t>P400</t>
  </si>
  <si>
    <t>E800</t>
  </si>
  <si>
    <t>V700</t>
  </si>
  <si>
    <t>V800</t>
  </si>
  <si>
    <t>x</t>
  </si>
  <si>
    <t>y</t>
  </si>
  <si>
    <t>planta-numero</t>
  </si>
  <si>
    <t>material</t>
  </si>
  <si>
    <t>PM-V-1</t>
  </si>
  <si>
    <t>PM-V-2</t>
  </si>
  <si>
    <t>PM-V-3</t>
  </si>
  <si>
    <t>PM-V-4</t>
  </si>
  <si>
    <t>PM-V-5</t>
  </si>
  <si>
    <t>PM-V-6</t>
  </si>
  <si>
    <t>PM-V-7</t>
  </si>
  <si>
    <t>PM-V-8</t>
  </si>
  <si>
    <t>PM-V-9</t>
  </si>
  <si>
    <t>PM-V-10</t>
  </si>
  <si>
    <t>PM-V-11</t>
  </si>
  <si>
    <t>caldera</t>
  </si>
  <si>
    <t>Nautas</t>
  </si>
  <si>
    <t>Secadores</t>
  </si>
  <si>
    <t>Atomizador 1a planta</t>
  </si>
  <si>
    <t>Atomizador 2a planta</t>
  </si>
  <si>
    <t>S600</t>
  </si>
  <si>
    <t>S6000</t>
  </si>
  <si>
    <t>secadores</t>
  </si>
  <si>
    <t>atomizador</t>
  </si>
  <si>
    <t>STE-1</t>
  </si>
  <si>
    <t>STE-2</t>
  </si>
  <si>
    <t>STE-3</t>
  </si>
  <si>
    <t>STE-4</t>
  </si>
  <si>
    <t>STE-5</t>
  </si>
  <si>
    <t>STE-6</t>
  </si>
  <si>
    <t>STE-7</t>
  </si>
  <si>
    <t>STE-8</t>
  </si>
  <si>
    <t>STE-9</t>
  </si>
  <si>
    <t>STE-10</t>
  </si>
  <si>
    <t>STE-11</t>
  </si>
  <si>
    <t>acer</t>
  </si>
  <si>
    <t>-</t>
  </si>
  <si>
    <t>Flow velocity ms</t>
  </si>
  <si>
    <t>area m2</t>
  </si>
  <si>
    <t>volume flow rate m3s</t>
  </si>
  <si>
    <t>mass flow rate kgh</t>
  </si>
  <si>
    <t>volume flow rate m3h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</si>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</sst>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Q12"/>
  <sheetViews>
    <sheetView tabSelected="1" zoomScale="85" zoomScaleNormal="85" workbookViewId="0">
      <selection activeCell="Q3" sqref="Q3"/>
    </sheetView>
  </sheetViews>
  <sheetFormatPr defaultRowHeight="14.4" x14ac:dyDescent="0.3"/>
  <cols>
    <col min="1" max="2" width="8.88671875" style="1"/>
    <col min="3" max="3" width="10.77734375" style="1" customWidth="1"/>
    <col min="4" max="4" width="18.33203125" style="1" customWidth="1"/>
    <col min="5" max="5" width="11.44140625" style="1" customWidth="1"/>
    <col min="6" max="6" width="13.33203125" style="1" customWidth="1"/>
    <col min="7" max="7" width="12.6640625" style="1" customWidth="1"/>
    <col min="8" max="10" width="8.88671875" style="1"/>
    <col min="11" max="11" width="8.5546875" style="1" customWidth="1"/>
    <col min="12" max="13" width="10.21875" style="1" customWidth="1"/>
    <col min="14" max="14" width="16.5546875" style="1" customWidth="1"/>
    <col min="15" max="15" width="19.88671875" style="1" customWidth="1"/>
    <col min="16" max="16" width="19.5546875" style="1" customWidth="1"/>
    <col min="17" max="16384" width="8.88671875" style="1"/>
  </cols>
  <sheetData>
    <row r="1" spans="1:17" x14ac:dyDescent="0.3">
      <c r="A1" s="1" t="s">
        <v>14</v>
      </c>
      <c r="B1" s="1" t="s">
        <v>15</v>
      </c>
      <c r="C1" s="1" t="s">
        <v>0</v>
      </c>
      <c r="D1" s="1" t="s">
        <v>16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3</v>
      </c>
      <c r="J1" s="1" t="s">
        <v>8</v>
      </c>
      <c r="K1" s="1" t="s">
        <v>4</v>
      </c>
      <c r="L1" s="1" t="s">
        <v>17</v>
      </c>
      <c r="M1" s="1" t="s">
        <v>52</v>
      </c>
      <c r="N1" s="1" t="s">
        <v>51</v>
      </c>
      <c r="O1" s="1" t="s">
        <v>53</v>
      </c>
      <c r="P1" s="1" t="s">
        <v>55</v>
      </c>
      <c r="Q1" s="1" t="s">
        <v>54</v>
      </c>
    </row>
    <row r="2" spans="1:17" x14ac:dyDescent="0.3">
      <c r="A2" s="1">
        <v>1458</v>
      </c>
      <c r="B2" s="1">
        <v>879</v>
      </c>
      <c r="C2" s="1" t="s">
        <v>38</v>
      </c>
      <c r="D2" s="1" t="s">
        <v>11</v>
      </c>
      <c r="E2" s="1" t="s">
        <v>18</v>
      </c>
      <c r="F2" s="1" t="s">
        <v>29</v>
      </c>
      <c r="G2" s="1" t="s">
        <v>11</v>
      </c>
      <c r="H2" s="1">
        <v>80</v>
      </c>
      <c r="I2" s="1">
        <v>88.9</v>
      </c>
      <c r="J2" s="1">
        <v>3.3</v>
      </c>
      <c r="K2" s="1">
        <f>PI()*(((I2-2*J2)*10^-3)^2)/4</f>
        <v>5.319729526158304E-3</v>
      </c>
      <c r="L2" s="1" t="s">
        <v>49</v>
      </c>
      <c r="M2" s="1">
        <f>PI()*(((I2-2*J2)*10^-3)^2)/4</f>
        <v>5.319729526158304E-3</v>
      </c>
      <c r="N2" s="1">
        <v>4.5999999999999996</v>
      </c>
      <c r="O2" s="1">
        <f>N2*M2</f>
        <v>2.4470755820328198E-2</v>
      </c>
      <c r="P2" s="1">
        <f>O2*3600</f>
        <v>88.094720953181508</v>
      </c>
      <c r="Q2" s="1">
        <f>P2*4.3</f>
        <v>378.80730009868046</v>
      </c>
    </row>
    <row r="3" spans="1:17" x14ac:dyDescent="0.3">
      <c r="A3" s="1">
        <v>1088</v>
      </c>
      <c r="B3" s="1">
        <v>557</v>
      </c>
      <c r="C3" s="1" t="s">
        <v>39</v>
      </c>
      <c r="D3" s="1" t="s">
        <v>31</v>
      </c>
      <c r="E3" s="1" t="s">
        <v>19</v>
      </c>
      <c r="F3" s="1" t="s">
        <v>29</v>
      </c>
      <c r="G3" s="1" t="s">
        <v>36</v>
      </c>
      <c r="H3" s="1">
        <v>80</v>
      </c>
      <c r="I3" s="1">
        <v>88.9</v>
      </c>
      <c r="J3" s="1">
        <v>3.3</v>
      </c>
      <c r="K3" s="1">
        <f t="shared" ref="K3:K12" si="0">PI()*(((I3-2*J3)*10^-3)^2)/4</f>
        <v>5.319729526158304E-3</v>
      </c>
      <c r="L3" s="1" t="s">
        <v>49</v>
      </c>
      <c r="M3" s="1">
        <f t="shared" ref="M3:M12" si="1">PI()*(((I3-2*J3)*10^-3)^2)/4</f>
        <v>5.319729526158304E-3</v>
      </c>
      <c r="N3" s="1">
        <v>7.5</v>
      </c>
      <c r="O3" s="1">
        <f t="shared" ref="O3:O12" si="2">N3*M3</f>
        <v>3.9897971446187279E-2</v>
      </c>
      <c r="P3" s="1">
        <f t="shared" ref="P3:P12" si="3">O3*3600</f>
        <v>143.6326972062742</v>
      </c>
      <c r="Q3" s="1">
        <f t="shared" ref="Q3:Q12" si="4">P3*4.3</f>
        <v>617.62059798697908</v>
      </c>
    </row>
    <row r="4" spans="1:17" x14ac:dyDescent="0.3">
      <c r="A4" s="1">
        <v>1141</v>
      </c>
      <c r="B4" s="1">
        <v>544.5</v>
      </c>
      <c r="C4" s="1" t="s">
        <v>40</v>
      </c>
      <c r="D4" s="1" t="s">
        <v>9</v>
      </c>
      <c r="E4" s="1" t="s">
        <v>20</v>
      </c>
      <c r="F4" s="1" t="s">
        <v>29</v>
      </c>
      <c r="G4" s="1" t="s">
        <v>9</v>
      </c>
      <c r="H4" s="1">
        <v>125</v>
      </c>
      <c r="I4" s="1">
        <v>141</v>
      </c>
      <c r="J4" s="1">
        <v>3.3</v>
      </c>
      <c r="K4" s="1">
        <f t="shared" si="0"/>
        <v>1.4186929768786934E-2</v>
      </c>
      <c r="L4" s="1" t="s">
        <v>49</v>
      </c>
      <c r="M4" s="1">
        <f t="shared" si="1"/>
        <v>1.4186929768786934E-2</v>
      </c>
      <c r="N4" s="1">
        <v>2.2999999999999998</v>
      </c>
      <c r="O4" s="1">
        <f t="shared" si="2"/>
        <v>3.2629938468209947E-2</v>
      </c>
      <c r="P4" s="1">
        <f t="shared" si="3"/>
        <v>117.46777848555581</v>
      </c>
      <c r="Q4" s="1">
        <f t="shared" si="4"/>
        <v>505.11144748788996</v>
      </c>
    </row>
    <row r="5" spans="1:17" x14ac:dyDescent="0.3">
      <c r="A5" s="1">
        <v>1099.5</v>
      </c>
      <c r="B5" s="1">
        <v>282</v>
      </c>
      <c r="C5" s="1" t="s">
        <v>41</v>
      </c>
      <c r="D5" s="1" t="s">
        <v>30</v>
      </c>
      <c r="E5" s="1" t="s">
        <v>21</v>
      </c>
      <c r="F5" s="1" t="s">
        <v>36</v>
      </c>
      <c r="G5" s="1" t="s">
        <v>30</v>
      </c>
      <c r="H5" s="1">
        <v>65</v>
      </c>
      <c r="I5" s="1">
        <v>76</v>
      </c>
      <c r="J5" s="1">
        <v>0</v>
      </c>
      <c r="K5" s="1">
        <f t="shared" si="0"/>
        <v>4.5364597917836608E-3</v>
      </c>
      <c r="L5" s="1" t="s">
        <v>49</v>
      </c>
      <c r="M5" s="1">
        <f t="shared" si="1"/>
        <v>4.5364597917836608E-3</v>
      </c>
      <c r="N5" s="1" t="s">
        <v>50</v>
      </c>
      <c r="O5" s="1" t="s">
        <v>56</v>
      </c>
      <c r="P5" s="1" t="s">
        <v>56</v>
      </c>
      <c r="Q5" s="1" t="s">
        <v>56</v>
      </c>
    </row>
    <row r="6" spans="1:17" x14ac:dyDescent="0.3">
      <c r="A6" s="1">
        <v>952.5</v>
      </c>
      <c r="B6" s="1">
        <v>920</v>
      </c>
      <c r="C6" s="1" t="s">
        <v>42</v>
      </c>
      <c r="D6" s="1" t="s">
        <v>13</v>
      </c>
      <c r="E6" s="1" t="s">
        <v>22</v>
      </c>
      <c r="F6" s="1" t="s">
        <v>6</v>
      </c>
      <c r="G6" s="1" t="s">
        <v>13</v>
      </c>
      <c r="H6" s="1">
        <v>50</v>
      </c>
      <c r="I6" s="1">
        <v>60.3</v>
      </c>
      <c r="J6" s="1">
        <v>0</v>
      </c>
      <c r="K6" s="1">
        <f t="shared" si="0"/>
        <v>2.8557784079478277E-3</v>
      </c>
      <c r="L6" s="1" t="s">
        <v>49</v>
      </c>
      <c r="M6" s="1">
        <f t="shared" si="1"/>
        <v>2.8557784079478277E-3</v>
      </c>
      <c r="N6" s="1">
        <v>13.54</v>
      </c>
      <c r="O6" s="1">
        <f t="shared" si="2"/>
        <v>3.8667239643613585E-2</v>
      </c>
      <c r="P6" s="1">
        <f t="shared" si="3"/>
        <v>139.20206271700891</v>
      </c>
      <c r="Q6" s="1">
        <f t="shared" si="4"/>
        <v>598.56886968313836</v>
      </c>
    </row>
    <row r="7" spans="1:17" x14ac:dyDescent="0.3">
      <c r="A7" s="1">
        <v>966.5</v>
      </c>
      <c r="B7" s="1">
        <v>920</v>
      </c>
      <c r="C7" s="1" t="s">
        <v>43</v>
      </c>
      <c r="D7" s="1" t="s">
        <v>12</v>
      </c>
      <c r="E7" s="1" t="s">
        <v>23</v>
      </c>
      <c r="F7" s="1" t="s">
        <v>6</v>
      </c>
      <c r="G7" s="1" t="s">
        <v>12</v>
      </c>
      <c r="H7" s="1">
        <v>50</v>
      </c>
      <c r="I7" s="1">
        <v>48</v>
      </c>
      <c r="J7" s="1">
        <v>3.6</v>
      </c>
      <c r="K7" s="1">
        <f t="shared" si="0"/>
        <v>1.3074051987179279E-3</v>
      </c>
      <c r="L7" s="1" t="s">
        <v>49</v>
      </c>
      <c r="M7" s="1">
        <f t="shared" si="1"/>
        <v>1.3074051987179279E-3</v>
      </c>
      <c r="N7" s="1">
        <v>0.2</v>
      </c>
      <c r="O7" s="1">
        <f t="shared" si="2"/>
        <v>2.6148103974358558E-4</v>
      </c>
      <c r="P7" s="1">
        <f t="shared" si="3"/>
        <v>0.94133174307690803</v>
      </c>
      <c r="Q7" s="1">
        <f t="shared" si="4"/>
        <v>4.0477264952307044</v>
      </c>
    </row>
    <row r="8" spans="1:17" x14ac:dyDescent="0.3">
      <c r="A8" s="1">
        <v>938</v>
      </c>
      <c r="B8" s="1">
        <v>986.5</v>
      </c>
      <c r="C8" s="1" t="s">
        <v>44</v>
      </c>
      <c r="D8" s="1" t="s">
        <v>10</v>
      </c>
      <c r="E8" s="1" t="s">
        <v>24</v>
      </c>
      <c r="F8" s="1" t="s">
        <v>6</v>
      </c>
      <c r="G8" s="1" t="s">
        <v>10</v>
      </c>
      <c r="H8" s="1">
        <v>100</v>
      </c>
      <c r="I8" s="1">
        <v>114</v>
      </c>
      <c r="J8" s="1">
        <v>0</v>
      </c>
      <c r="K8" s="1">
        <f t="shared" si="0"/>
        <v>1.0207034531513238E-2</v>
      </c>
      <c r="L8" s="1" t="s">
        <v>49</v>
      </c>
      <c r="M8" s="1">
        <f t="shared" si="1"/>
        <v>1.0207034531513238E-2</v>
      </c>
      <c r="N8" s="1">
        <v>7.5</v>
      </c>
      <c r="O8" s="1">
        <f t="shared" si="2"/>
        <v>7.6552758986349292E-2</v>
      </c>
      <c r="P8" s="1">
        <f t="shared" si="3"/>
        <v>275.58993235085745</v>
      </c>
      <c r="Q8" s="1">
        <f t="shared" si="4"/>
        <v>1185.0367091086871</v>
      </c>
    </row>
    <row r="9" spans="1:17" x14ac:dyDescent="0.3">
      <c r="A9" s="1">
        <v>591</v>
      </c>
      <c r="B9" s="1">
        <v>553</v>
      </c>
      <c r="C9" s="1" t="s">
        <v>45</v>
      </c>
      <c r="D9" s="1" t="s">
        <v>32</v>
      </c>
      <c r="E9" s="1" t="s">
        <v>25</v>
      </c>
      <c r="F9" s="1" t="s">
        <v>36</v>
      </c>
      <c r="G9" s="1" t="s">
        <v>37</v>
      </c>
      <c r="H9" s="1">
        <v>50</v>
      </c>
      <c r="I9" s="1">
        <v>60.3</v>
      </c>
      <c r="J9" s="1">
        <v>2.7</v>
      </c>
      <c r="K9" s="1">
        <f t="shared" si="0"/>
        <v>2.3671979184615426E-3</v>
      </c>
      <c r="L9" s="1" t="s">
        <v>49</v>
      </c>
      <c r="M9" s="1">
        <f t="shared" si="1"/>
        <v>2.3671979184615426E-3</v>
      </c>
      <c r="N9" s="1">
        <v>2</v>
      </c>
      <c r="O9" s="1">
        <f t="shared" si="2"/>
        <v>4.7343958369230853E-3</v>
      </c>
      <c r="P9" s="1">
        <f t="shared" si="3"/>
        <v>17.043825012923108</v>
      </c>
      <c r="Q9" s="1">
        <f t="shared" si="4"/>
        <v>73.288447555569363</v>
      </c>
    </row>
    <row r="10" spans="1:17" x14ac:dyDescent="0.3">
      <c r="A10" s="1">
        <v>647</v>
      </c>
      <c r="B10" s="1">
        <v>580</v>
      </c>
      <c r="C10" s="1" t="s">
        <v>46</v>
      </c>
      <c r="D10" s="1" t="s">
        <v>33</v>
      </c>
      <c r="E10" s="1" t="s">
        <v>26</v>
      </c>
      <c r="F10" s="1" t="s">
        <v>36</v>
      </c>
      <c r="G10" s="1" t="s">
        <v>37</v>
      </c>
      <c r="H10" s="1">
        <v>40</v>
      </c>
      <c r="I10" s="1">
        <v>48.3</v>
      </c>
      <c r="J10" s="1">
        <v>2.5</v>
      </c>
      <c r="K10" s="1">
        <f t="shared" si="0"/>
        <v>1.4725351625722418E-3</v>
      </c>
      <c r="L10" s="1" t="s">
        <v>49</v>
      </c>
      <c r="M10" s="1">
        <f t="shared" si="1"/>
        <v>1.4725351625722418E-3</v>
      </c>
      <c r="N10" s="1" t="s">
        <v>50</v>
      </c>
      <c r="O10" s="1" t="s">
        <v>56</v>
      </c>
      <c r="P10" s="1" t="s">
        <v>56</v>
      </c>
      <c r="Q10" s="1" t="s">
        <v>56</v>
      </c>
    </row>
    <row r="11" spans="1:17" x14ac:dyDescent="0.3">
      <c r="A11" s="1">
        <v>432.5</v>
      </c>
      <c r="B11" s="1">
        <v>689</v>
      </c>
      <c r="C11" s="1" t="s">
        <v>47</v>
      </c>
      <c r="D11" s="1" t="s">
        <v>34</v>
      </c>
      <c r="E11" s="1" t="s">
        <v>27</v>
      </c>
      <c r="F11" s="1" t="s">
        <v>36</v>
      </c>
      <c r="G11" s="1" t="s">
        <v>34</v>
      </c>
      <c r="H11" s="1">
        <v>65</v>
      </c>
      <c r="I11" s="1">
        <v>73</v>
      </c>
      <c r="J11" s="1">
        <v>2.7</v>
      </c>
      <c r="K11" s="1">
        <f t="shared" si="0"/>
        <v>3.5890811111671224E-3</v>
      </c>
      <c r="L11" s="1" t="s">
        <v>49</v>
      </c>
      <c r="M11" s="1">
        <f t="shared" si="1"/>
        <v>3.5890811111671224E-3</v>
      </c>
      <c r="N11" s="1">
        <v>0.1</v>
      </c>
      <c r="O11" s="1">
        <f t="shared" si="2"/>
        <v>3.5890811111671225E-4</v>
      </c>
      <c r="P11" s="1">
        <f t="shared" si="3"/>
        <v>1.2920692000201641</v>
      </c>
      <c r="Q11" s="1">
        <f t="shared" si="4"/>
        <v>5.5558975600867058</v>
      </c>
    </row>
    <row r="12" spans="1:17" x14ac:dyDescent="0.3">
      <c r="A12" s="1">
        <v>395.5</v>
      </c>
      <c r="B12" s="1">
        <v>1312</v>
      </c>
      <c r="C12" s="1" t="s">
        <v>48</v>
      </c>
      <c r="D12" s="1" t="s">
        <v>35</v>
      </c>
      <c r="E12" s="1" t="s">
        <v>28</v>
      </c>
      <c r="F12" s="1" t="s">
        <v>36</v>
      </c>
      <c r="G12" s="1" t="s">
        <v>35</v>
      </c>
      <c r="H12" s="1">
        <v>65</v>
      </c>
      <c r="I12" s="1">
        <v>76.400000000000006</v>
      </c>
      <c r="J12" s="1">
        <v>3.1</v>
      </c>
      <c r="K12" s="1">
        <f t="shared" si="0"/>
        <v>3.8704735651491607E-3</v>
      </c>
      <c r="L12" s="1" t="s">
        <v>49</v>
      </c>
      <c r="M12" s="1">
        <f t="shared" si="1"/>
        <v>3.8704735651491607E-3</v>
      </c>
      <c r="N12" s="1">
        <v>1.6</v>
      </c>
      <c r="O12" s="1">
        <f t="shared" si="2"/>
        <v>6.1927577042386571E-3</v>
      </c>
      <c r="P12" s="1">
        <f t="shared" si="3"/>
        <v>22.293927735259164</v>
      </c>
      <c r="Q12" s="1">
        <f t="shared" si="4"/>
        <v>95.863889261614403</v>
      </c>
    </row>
  </sheetData>
  <autoFilter ref="A1:O1" xr:uid="{80D9219E-119C-467C-9531-507D24E0A5C1}"/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2026-04-16T11:46:55Z</dcterms:modified>
</cp:coreProperties>
</file>
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punts\"/>
    </mc:Choice>
  </mc:AlternateContent>
  <xr:revisionPtr revIDLastSave="0" documentId="13_ncr:1_{680C8061-D588-46BC-AFDA-775E98120C72}" xr6:coauthVersionLast="47" xr6:coauthVersionMax="47" xr10:uidLastSave="{00000000-0000-0000-0000-000000000000}"/>
  <bookViews>
    <workbookView xWindow="-108" yWindow="-108" windowWidth="23256" windowHeight="13896" xr2:uid="{4CA701B3-5EB8-45D8-B6BB-1F057196BE44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N2" i="1" s="1"/>
  <c r="O2" i="1" s="1"/>
  <c r="P2" i="1" s="1"/>
  <c r="L3" i="1"/>
  <c r="N3" i="1" s="1"/>
  <c r="O3" i="1" s="1"/>
  <c r="P3" i="1" s="1"/>
  <c r="L4" i="1"/>
  <c r="N4" i="1" s="1"/>
  <c r="O4" i="1" s="1"/>
  <c r="P4" i="1" s="1"/>
  <c r="L5" i="1"/>
  <c r="L6" i="1"/>
  <c r="N6" i="1" s="1"/>
  <c r="O6" i="1" s="1"/>
  <c r="P6" i="1" s="1"/>
  <c r="L7" i="1"/>
  <c r="N7" i="1" s="1"/>
  <c r="O7" i="1" s="1"/>
  <c r="P7" i="1" s="1"/>
  <c r="L8" i="1"/>
  <c r="N8" i="1" s="1"/>
  <c r="O8" i="1" s="1"/>
  <c r="P8" i="1" s="1"/>
  <c r="L9" i="1"/>
  <c r="N9" i="1" s="1"/>
  <c r="O9" i="1" s="1"/>
  <c r="P9" i="1" s="1"/>
  <c r="L10" i="1"/>
  <c r="L11" i="1"/>
  <c r="N11" i="1" s="1"/>
  <c r="O11" i="1" s="1"/>
  <c r="P11" i="1" s="1"/>
  <c r="L12" i="1"/>
  <c r="N12" i="1" s="1"/>
  <c r="O12" i="1" s="1"/>
  <c r="P12" i="1" s="1"/>
</calcChain>
</file>

<file path=xl/sharedStrings.xml><?xml version="1.0" encoding="utf-8"?>
<sst xmlns="http://schemas.openxmlformats.org/spreadsheetml/2006/main" count="90" uniqueCount="56">
  <si>
    <t>id</t>
  </si>
  <si>
    <t>source</t>
  </si>
  <si>
    <t>target</t>
  </si>
  <si>
    <t>id_vell</t>
  </si>
  <si>
    <t>colector</t>
  </si>
  <si>
    <t>DN</t>
  </si>
  <si>
    <t>PEC</t>
  </si>
  <si>
    <t>P400</t>
  </si>
  <si>
    <t>E800</t>
  </si>
  <si>
    <t>V700</t>
  </si>
  <si>
    <t>V800</t>
  </si>
  <si>
    <t>x</t>
  </si>
  <si>
    <t>y</t>
  </si>
  <si>
    <t>planta-numero</t>
  </si>
  <si>
    <t>material</t>
  </si>
  <si>
    <t>PM-V-1</t>
  </si>
  <si>
    <t>PM-V-2</t>
  </si>
  <si>
    <t>PM-V-3</t>
  </si>
  <si>
    <t>PM-V-4</t>
  </si>
  <si>
    <t>PM-V-5</t>
  </si>
  <si>
    <t>PM-V-6</t>
  </si>
  <si>
    <t>PM-V-7</t>
  </si>
  <si>
    <t>PM-V-8</t>
  </si>
  <si>
    <t>PM-V-9</t>
  </si>
  <si>
    <t>PM-V-10</t>
  </si>
  <si>
    <t>PM-V-11</t>
  </si>
  <si>
    <t>caldera</t>
  </si>
  <si>
    <t>Nautas</t>
  </si>
  <si>
    <t>Secadores</t>
  </si>
  <si>
    <t>Atomizador 1a planta</t>
  </si>
  <si>
    <t>Atomizador 2a planta</t>
  </si>
  <si>
    <t>S600</t>
  </si>
  <si>
    <t>S6000</t>
  </si>
  <si>
    <t>secadores</t>
  </si>
  <si>
    <t>atomizador</t>
  </si>
  <si>
    <t>STE-1</t>
  </si>
  <si>
    <t>STE-2</t>
  </si>
  <si>
    <t>STE-3</t>
  </si>
  <si>
    <t>STE-4</t>
  </si>
  <si>
    <t>STE-5</t>
  </si>
  <si>
    <t>STE-6</t>
  </si>
  <si>
    <t>STE-7</t>
  </si>
  <si>
    <t>STE-8</t>
  </si>
  <si>
    <t>STE-9</t>
  </si>
  <si>
    <t>STE-10</t>
  </si>
  <si>
    <t>STE-11</t>
  </si>
  <si>
    <t>acer</t>
  </si>
  <si>
    <t>-</t>
  </si>
  <si>
    <t>Flow velocity ms</t>
  </si>
  <si>
    <t>area m2</t>
  </si>
  <si>
    <t>volume flow rate m3s</t>
  </si>
  <si>
    <t>mass flow rate kgh</t>
  </si>
  <si>
    <t>volume flow rate m3h</t>
  </si>
  <si>
    <t>?</t>
  </si>
  <si>
    <t>OD mm</t>
  </si>
  <si>
    <t>WT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</si>
</sst>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219E-119C-467C-9531-507D24E0A5C1}">
  <sheetPr>
    <pageSetUpPr fitToPage="1"/>
  </sheetPr>
  <dimension ref="A1:P28"/>
  <sheetViews>
    <sheetView tabSelected="1" zoomScale="85" zoomScaleNormal="85" workbookViewId="0">
      <selection activeCell="A13" sqref="A13:XFD13"/>
    </sheetView>
  </sheetViews>
  <sheetFormatPr defaultRowHeight="14.4" x14ac:dyDescent="0.3"/>
  <cols>
    <col min="1" max="2" width="8.88671875" style="1"/>
    <col min="3" max="3" width="18.33203125" style="1" customWidth="1"/>
    <col min="4" max="4" width="10.77734375" style="1" customWidth="1"/>
    <col min="5" max="5" width="11.44140625" style="1" customWidth="1"/>
    <col min="6" max="6" width="13.33203125" style="1" customWidth="1"/>
    <col min="7" max="7" width="12.6640625" style="1" customWidth="1"/>
    <col min="8" max="10" width="8.88671875" style="1"/>
    <col min="11" max="11" width="12.88671875" style="1" customWidth="1"/>
    <col min="12" max="12" width="11.21875" style="1" customWidth="1"/>
    <col min="13" max="13" width="16.5546875" style="1" customWidth="1"/>
    <col min="14" max="14" width="19.88671875" style="1" customWidth="1"/>
    <col min="15" max="15" width="19.5546875" style="1" customWidth="1"/>
    <col min="16" max="16384" width="8.88671875" style="1"/>
  </cols>
  <sheetData>
    <row r="1" spans="1:16" x14ac:dyDescent="0.3">
      <c r="A1" s="2" t="s">
        <v>11</v>
      </c>
      <c r="B1" s="2" t="s">
        <v>12</v>
      </c>
      <c r="C1" s="2" t="s">
        <v>13</v>
      </c>
      <c r="D1" s="2" t="s">
        <v>0</v>
      </c>
      <c r="E1" s="2" t="s">
        <v>3</v>
      </c>
      <c r="F1" s="2" t="s">
        <v>1</v>
      </c>
      <c r="G1" s="2" t="s">
        <v>2</v>
      </c>
      <c r="H1" s="2" t="s">
        <v>5</v>
      </c>
      <c r="I1" s="2" t="s">
        <v>54</v>
      </c>
      <c r="J1" s="2" t="s">
        <v>55</v>
      </c>
      <c r="K1" s="2" t="s">
        <v>14</v>
      </c>
      <c r="L1" s="2" t="s">
        <v>49</v>
      </c>
      <c r="M1" s="2" t="s">
        <v>48</v>
      </c>
      <c r="N1" s="2" t="s">
        <v>50</v>
      </c>
      <c r="O1" s="2" t="s">
        <v>52</v>
      </c>
      <c r="P1" s="2" t="s">
        <v>51</v>
      </c>
    </row>
    <row r="2" spans="1:16" x14ac:dyDescent="0.3">
      <c r="A2" s="3">
        <v>1458</v>
      </c>
      <c r="B2" s="3">
        <v>879</v>
      </c>
      <c r="C2" s="3" t="s">
        <v>8</v>
      </c>
      <c r="D2" s="3" t="s">
        <v>35</v>
      </c>
      <c r="E2" s="3" t="s">
        <v>15</v>
      </c>
      <c r="F2" s="4" t="s">
        <v>26</v>
      </c>
      <c r="G2" s="4" t="s">
        <v>8</v>
      </c>
      <c r="H2" s="3">
        <v>80</v>
      </c>
      <c r="I2" s="4">
        <v>88.9</v>
      </c>
      <c r="J2" s="4">
        <v>3.3</v>
      </c>
      <c r="K2" s="3" t="s">
        <v>46</v>
      </c>
      <c r="L2" s="3">
        <f t="shared" ref="L2:L12" si="0">PI()*(((I2-2*J2)*10^-3)^2)/4</f>
        <v>5.319729526158304E-3</v>
      </c>
      <c r="M2" s="4">
        <v>4.5999999999999996</v>
      </c>
      <c r="N2" s="3">
        <f>M2*L2</f>
        <v>2.4470755820328198E-2</v>
      </c>
      <c r="O2" s="3">
        <f>N2*3600</f>
        <v>88.094720953181508</v>
      </c>
      <c r="P2" s="3">
        <f>O2*4.3</f>
        <v>378.80730009868046</v>
      </c>
    </row>
    <row r="3" spans="1:16" x14ac:dyDescent="0.3">
      <c r="A3" s="3">
        <v>1088</v>
      </c>
      <c r="B3" s="3">
        <v>557</v>
      </c>
      <c r="C3" s="3" t="s">
        <v>28</v>
      </c>
      <c r="D3" s="3" t="s">
        <v>36</v>
      </c>
      <c r="E3" s="3" t="s">
        <v>16</v>
      </c>
      <c r="F3" s="4" t="s">
        <v>26</v>
      </c>
      <c r="G3" s="4" t="s">
        <v>33</v>
      </c>
      <c r="H3" s="3">
        <v>80</v>
      </c>
      <c r="I3" s="4">
        <v>88.9</v>
      </c>
      <c r="J3" s="4">
        <v>3.3</v>
      </c>
      <c r="K3" s="3" t="s">
        <v>46</v>
      </c>
      <c r="L3" s="3">
        <f t="shared" si="0"/>
        <v>5.319729526158304E-3</v>
      </c>
      <c r="M3" s="4">
        <v>7.5</v>
      </c>
      <c r="N3" s="3">
        <f t="shared" ref="N3:N12" si="1">M3*L3</f>
        <v>3.9897971446187279E-2</v>
      </c>
      <c r="O3" s="3">
        <f t="shared" ref="O3:O12" si="2">N3*3600</f>
        <v>143.6326972062742</v>
      </c>
      <c r="P3" s="3">
        <f t="shared" ref="P3:P12" si="3">O3*4.3</f>
        <v>617.62059798697908</v>
      </c>
    </row>
    <row r="4" spans="1:16" x14ac:dyDescent="0.3">
      <c r="A4" s="3">
        <v>1141</v>
      </c>
      <c r="B4" s="3">
        <v>544.5</v>
      </c>
      <c r="C4" s="3" t="s">
        <v>6</v>
      </c>
      <c r="D4" s="3" t="s">
        <v>37</v>
      </c>
      <c r="E4" s="3" t="s">
        <v>17</v>
      </c>
      <c r="F4" s="4" t="s">
        <v>26</v>
      </c>
      <c r="G4" s="4" t="s">
        <v>6</v>
      </c>
      <c r="H4" s="3">
        <v>125</v>
      </c>
      <c r="I4" s="4">
        <v>141</v>
      </c>
      <c r="J4" s="4">
        <v>3.3</v>
      </c>
      <c r="K4" s="3" t="s">
        <v>46</v>
      </c>
      <c r="L4" s="3">
        <f t="shared" si="0"/>
        <v>1.4186929768786934E-2</v>
      </c>
      <c r="M4" s="4">
        <v>2.2999999999999998</v>
      </c>
      <c r="N4" s="3">
        <f t="shared" si="1"/>
        <v>3.2629938468209947E-2</v>
      </c>
      <c r="O4" s="3">
        <f t="shared" si="2"/>
        <v>117.46777848555581</v>
      </c>
      <c r="P4" s="3">
        <f t="shared" si="3"/>
        <v>505.11144748788996</v>
      </c>
    </row>
    <row r="5" spans="1:16" x14ac:dyDescent="0.3">
      <c r="A5" s="3">
        <v>1099.5</v>
      </c>
      <c r="B5" s="3">
        <v>282</v>
      </c>
      <c r="C5" s="3" t="s">
        <v>27</v>
      </c>
      <c r="D5" s="3" t="s">
        <v>38</v>
      </c>
      <c r="E5" s="3" t="s">
        <v>18</v>
      </c>
      <c r="F5" s="4" t="s">
        <v>33</v>
      </c>
      <c r="G5" s="4" t="s">
        <v>27</v>
      </c>
      <c r="H5" s="3">
        <v>65</v>
      </c>
      <c r="I5" s="4">
        <v>76</v>
      </c>
      <c r="J5" s="4">
        <v>0</v>
      </c>
      <c r="K5" s="3" t="s">
        <v>46</v>
      </c>
      <c r="L5" s="3">
        <f t="shared" si="0"/>
        <v>4.5364597917836608E-3</v>
      </c>
      <c r="M5" s="4" t="s">
        <v>47</v>
      </c>
      <c r="N5" s="3" t="s">
        <v>53</v>
      </c>
      <c r="O5" s="3" t="s">
        <v>53</v>
      </c>
      <c r="P5" s="3" t="s">
        <v>53</v>
      </c>
    </row>
    <row r="6" spans="1:16" x14ac:dyDescent="0.3">
      <c r="A6" s="3">
        <v>952.5</v>
      </c>
      <c r="B6" s="3">
        <v>920</v>
      </c>
      <c r="C6" s="3" t="s">
        <v>10</v>
      </c>
      <c r="D6" s="3" t="s">
        <v>39</v>
      </c>
      <c r="E6" s="3" t="s">
        <v>19</v>
      </c>
      <c r="F6" s="4" t="s">
        <v>4</v>
      </c>
      <c r="G6" s="4" t="s">
        <v>10</v>
      </c>
      <c r="H6" s="3">
        <v>50</v>
      </c>
      <c r="I6" s="4">
        <v>60.3</v>
      </c>
      <c r="J6" s="4">
        <v>0</v>
      </c>
      <c r="K6" s="3" t="s">
        <v>46</v>
      </c>
      <c r="L6" s="3">
        <f t="shared" si="0"/>
        <v>2.8557784079478277E-3</v>
      </c>
      <c r="M6" s="4">
        <v>13.54</v>
      </c>
      <c r="N6" s="3">
        <f t="shared" si="1"/>
        <v>3.8667239643613585E-2</v>
      </c>
      <c r="O6" s="3">
        <f t="shared" si="2"/>
        <v>139.20206271700891</v>
      </c>
      <c r="P6" s="3">
        <f t="shared" si="3"/>
        <v>598.56886968313836</v>
      </c>
    </row>
    <row r="7" spans="1:16" x14ac:dyDescent="0.3">
      <c r="A7" s="3">
        <v>966.5</v>
      </c>
      <c r="B7" s="3">
        <v>920</v>
      </c>
      <c r="C7" s="3" t="s">
        <v>9</v>
      </c>
      <c r="D7" s="3" t="s">
        <v>40</v>
      </c>
      <c r="E7" s="3" t="s">
        <v>20</v>
      </c>
      <c r="F7" s="4" t="s">
        <v>4</v>
      </c>
      <c r="G7" s="4" t="s">
        <v>9</v>
      </c>
      <c r="H7" s="3">
        <v>50</v>
      </c>
      <c r="I7" s="4">
        <v>48</v>
      </c>
      <c r="J7" s="4">
        <v>3.6</v>
      </c>
      <c r="K7" s="3" t="s">
        <v>46</v>
      </c>
      <c r="L7" s="3">
        <f t="shared" si="0"/>
        <v>1.3074051987179279E-3</v>
      </c>
      <c r="M7" s="4">
        <v>0.2</v>
      </c>
      <c r="N7" s="3">
        <f t="shared" si="1"/>
        <v>2.6148103974358558E-4</v>
      </c>
      <c r="O7" s="3">
        <f t="shared" si="2"/>
        <v>0.94133174307690803</v>
      </c>
      <c r="P7" s="3">
        <f t="shared" si="3"/>
        <v>4.0477264952307044</v>
      </c>
    </row>
    <row r="8" spans="1:16" x14ac:dyDescent="0.3">
      <c r="A8" s="3">
        <v>938</v>
      </c>
      <c r="B8" s="3">
        <v>986.5</v>
      </c>
      <c r="C8" s="3" t="s">
        <v>7</v>
      </c>
      <c r="D8" s="3" t="s">
        <v>41</v>
      </c>
      <c r="E8" s="3" t="s">
        <v>21</v>
      </c>
      <c r="F8" s="4" t="s">
        <v>4</v>
      </c>
      <c r="G8" s="4" t="s">
        <v>7</v>
      </c>
      <c r="H8" s="3">
        <v>100</v>
      </c>
      <c r="I8" s="4">
        <v>114</v>
      </c>
      <c r="J8" s="4">
        <v>0</v>
      </c>
      <c r="K8" s="3" t="s">
        <v>46</v>
      </c>
      <c r="L8" s="3">
        <f t="shared" si="0"/>
        <v>1.0207034531513238E-2</v>
      </c>
      <c r="M8" s="4">
        <v>7.5</v>
      </c>
      <c r="N8" s="3">
        <f t="shared" si="1"/>
        <v>7.6552758986349292E-2</v>
      </c>
      <c r="O8" s="3">
        <f t="shared" si="2"/>
        <v>275.58993235085745</v>
      </c>
      <c r="P8" s="3">
        <f t="shared" si="3"/>
        <v>1185.0367091086871</v>
      </c>
    </row>
    <row r="9" spans="1:16" x14ac:dyDescent="0.3">
      <c r="A9" s="3">
        <v>591</v>
      </c>
      <c r="B9" s="3">
        <v>553</v>
      </c>
      <c r="C9" s="3" t="s">
        <v>29</v>
      </c>
      <c r="D9" s="3" t="s">
        <v>42</v>
      </c>
      <c r="E9" s="3" t="s">
        <v>22</v>
      </c>
      <c r="F9" s="4" t="s">
        <v>33</v>
      </c>
      <c r="G9" s="4" t="s">
        <v>34</v>
      </c>
      <c r="H9" s="3">
        <v>50</v>
      </c>
      <c r="I9" s="4">
        <v>60.3</v>
      </c>
      <c r="J9" s="4">
        <v>2.7</v>
      </c>
      <c r="K9" s="3" t="s">
        <v>46</v>
      </c>
      <c r="L9" s="3">
        <f t="shared" si="0"/>
        <v>2.3671979184615426E-3</v>
      </c>
      <c r="M9" s="4">
        <v>2</v>
      </c>
      <c r="N9" s="3">
        <f t="shared" si="1"/>
        <v>4.7343958369230853E-3</v>
      </c>
      <c r="O9" s="3">
        <f t="shared" si="2"/>
        <v>17.043825012923108</v>
      </c>
      <c r="P9" s="3">
        <f t="shared" si="3"/>
        <v>73.288447555569363</v>
      </c>
    </row>
    <row r="10" spans="1:16" x14ac:dyDescent="0.3">
      <c r="A10" s="3">
        <v>647</v>
      </c>
      <c r="B10" s="3">
        <v>580</v>
      </c>
      <c r="C10" s="3" t="s">
        <v>30</v>
      </c>
      <c r="D10" s="3" t="s">
        <v>43</v>
      </c>
      <c r="E10" s="3" t="s">
        <v>23</v>
      </c>
      <c r="F10" s="4" t="s">
        <v>33</v>
      </c>
      <c r="G10" s="4" t="s">
        <v>34</v>
      </c>
      <c r="H10" s="3">
        <v>40</v>
      </c>
      <c r="I10" s="4">
        <v>48.3</v>
      </c>
      <c r="J10" s="4">
        <v>2.5</v>
      </c>
      <c r="K10" s="3" t="s">
        <v>46</v>
      </c>
      <c r="L10" s="3">
        <f t="shared" si="0"/>
        <v>1.4725351625722418E-3</v>
      </c>
      <c r="M10" s="4" t="s">
        <v>47</v>
      </c>
      <c r="N10" s="3" t="s">
        <v>53</v>
      </c>
      <c r="O10" s="3" t="s">
        <v>53</v>
      </c>
      <c r="P10" s="3" t="s">
        <v>53</v>
      </c>
    </row>
    <row r="11" spans="1:16" x14ac:dyDescent="0.3">
      <c r="A11" s="3">
        <v>432.5</v>
      </c>
      <c r="B11" s="3">
        <v>689</v>
      </c>
      <c r="C11" s="3" t="s">
        <v>31</v>
      </c>
      <c r="D11" s="3" t="s">
        <v>44</v>
      </c>
      <c r="E11" s="3" t="s">
        <v>24</v>
      </c>
      <c r="F11" s="4" t="s">
        <v>33</v>
      </c>
      <c r="G11" s="4" t="s">
        <v>31</v>
      </c>
      <c r="H11" s="3">
        <v>65</v>
      </c>
      <c r="I11" s="4">
        <v>73</v>
      </c>
      <c r="J11" s="4">
        <v>2.7</v>
      </c>
      <c r="K11" s="3" t="s">
        <v>46</v>
      </c>
      <c r="L11" s="3">
        <f t="shared" si="0"/>
        <v>3.5890811111671224E-3</v>
      </c>
      <c r="M11" s="4">
        <v>0.1</v>
      </c>
      <c r="N11" s="3">
        <f t="shared" si="1"/>
        <v>3.5890811111671225E-4</v>
      </c>
      <c r="O11" s="3">
        <f t="shared" si="2"/>
        <v>1.2920692000201641</v>
      </c>
      <c r="P11" s="3">
        <f t="shared" si="3"/>
        <v>5.5558975600867058</v>
      </c>
    </row>
    <row r="12" spans="1:16" x14ac:dyDescent="0.3">
      <c r="A12" s="3">
        <v>395.5</v>
      </c>
      <c r="B12" s="3">
        <v>1312</v>
      </c>
      <c r="C12" s="3" t="s">
        <v>32</v>
      </c>
      <c r="D12" s="3" t="s">
        <v>45</v>
      </c>
      <c r="E12" s="3" t="s">
        <v>25</v>
      </c>
      <c r="F12" s="4" t="s">
        <v>33</v>
      </c>
      <c r="G12" s="4" t="s">
        <v>32</v>
      </c>
      <c r="H12" s="3">
        <v>65</v>
      </c>
      <c r="I12" s="4">
        <v>76.400000000000006</v>
      </c>
      <c r="J12" s="4">
        <v>3.1</v>
      </c>
      <c r="K12" s="3" t="s">
        <v>46</v>
      </c>
      <c r="L12" s="3">
        <f t="shared" si="0"/>
        <v>3.8704735651491607E-3</v>
      </c>
      <c r="M12" s="4">
        <v>1.6</v>
      </c>
      <c r="N12" s="3">
        <f t="shared" si="1"/>
        <v>6.1927577042386571E-3</v>
      </c>
      <c r="O12" s="3">
        <f t="shared" si="2"/>
        <v>22.293927735259164</v>
      </c>
      <c r="P12" s="3">
        <f t="shared" si="3"/>
        <v>95.863889261614403</v>
      </c>
    </row>
    <row r="13" spans="1:16" x14ac:dyDescent="0.3">
      <c r="F13" s="5"/>
      <c r="G13" s="5"/>
      <c r="I13" s="5"/>
      <c r="J13" s="5"/>
      <c r="M13" s="5"/>
    </row>
    <row r="14" spans="1:16" x14ac:dyDescent="0.3">
      <c r="F14" s="5"/>
      <c r="G14" s="5"/>
      <c r="I14" s="5"/>
      <c r="J14" s="5"/>
      <c r="M14" s="5"/>
    </row>
    <row r="15" spans="1:16" x14ac:dyDescent="0.3">
      <c r="F15" s="5"/>
      <c r="G15" s="5"/>
      <c r="I15" s="5"/>
      <c r="J15" s="5"/>
      <c r="M15" s="5"/>
    </row>
    <row r="16" spans="1:16" x14ac:dyDescent="0.3">
      <c r="F16" s="5"/>
      <c r="G16" s="5"/>
      <c r="I16" s="5"/>
      <c r="J16" s="5"/>
      <c r="M16" s="5"/>
    </row>
    <row r="17" spans="6:13" x14ac:dyDescent="0.3">
      <c r="F17" s="5"/>
      <c r="G17" s="5"/>
      <c r="I17" s="5"/>
      <c r="J17" s="5"/>
      <c r="M17" s="5"/>
    </row>
    <row r="18" spans="6:13" x14ac:dyDescent="0.3">
      <c r="F18" s="5"/>
      <c r="G18" s="5"/>
      <c r="I18" s="5"/>
      <c r="J18" s="5"/>
      <c r="M18" s="5"/>
    </row>
    <row r="19" spans="6:13" x14ac:dyDescent="0.3">
      <c r="F19" s="5"/>
      <c r="G19" s="5"/>
      <c r="I19" s="5"/>
      <c r="J19" s="5"/>
      <c r="M19" s="5"/>
    </row>
    <row r="20" spans="6:13" x14ac:dyDescent="0.3">
      <c r="F20" s="5"/>
      <c r="G20" s="5"/>
      <c r="I20" s="5"/>
      <c r="J20" s="5"/>
      <c r="M20" s="5"/>
    </row>
    <row r="21" spans="6:13" x14ac:dyDescent="0.3">
      <c r="F21" s="5"/>
      <c r="G21" s="5"/>
      <c r="I21" s="5"/>
      <c r="J21" s="5"/>
      <c r="M21" s="5"/>
    </row>
    <row r="22" spans="6:13" x14ac:dyDescent="0.3">
      <c r="F22" s="5"/>
      <c r="G22" s="5"/>
      <c r="I22" s="5"/>
      <c r="J22" s="5"/>
      <c r="M22" s="5"/>
    </row>
    <row r="23" spans="6:13" x14ac:dyDescent="0.3">
      <c r="F23" s="5"/>
      <c r="G23" s="5"/>
      <c r="I23" s="5"/>
      <c r="J23" s="5"/>
      <c r="M23" s="5"/>
    </row>
    <row r="24" spans="6:13" x14ac:dyDescent="0.3">
      <c r="F24" s="5"/>
      <c r="G24" s="5"/>
      <c r="I24" s="5"/>
      <c r="J24" s="5"/>
      <c r="M24" s="5"/>
    </row>
    <row r="25" spans="6:13" x14ac:dyDescent="0.3">
      <c r="F25" s="5"/>
      <c r="G25" s="5"/>
      <c r="I25" s="5"/>
      <c r="J25" s="5"/>
      <c r="M25" s="5"/>
    </row>
    <row r="26" spans="6:13" x14ac:dyDescent="0.3">
      <c r="F26" s="5"/>
      <c r="G26" s="5"/>
      <c r="I26" s="5"/>
      <c r="J26" s="5"/>
      <c r="M26" s="5"/>
    </row>
    <row r="27" spans="6:13" x14ac:dyDescent="0.3">
      <c r="F27" s="5"/>
      <c r="G27" s="5"/>
      <c r="I27" s="5"/>
      <c r="J27" s="5"/>
      <c r="M27" s="5"/>
    </row>
    <row r="28" spans="6:13" x14ac:dyDescent="0.3">
      <c r="F28" s="5"/>
      <c r="G28" s="5"/>
      <c r="I28" s="5"/>
      <c r="J28" s="5"/>
      <c r="M28" s="5"/>
    </row>
  </sheetData>
  <autoFilter ref="A1:N1" xr:uid="{80D9219E-119C-467C-9531-507D24E0A5C1}"/>
  <phoneticPr fontId="1" type="noConversion"/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cp:lastPrinted>2026-03-11T08:48:12Z</cp:lastPrinted>
  <dcterms:created xsi:type="dcterms:W3CDTF">2026-03-03T10:12:00Z</dcterms:created>
  <dcterms:modified xsi:type="dcterms:W3CDTF">2026-04-24T12:03:32Z</dcterms:modified>
</cp:coreProperties>
</file>
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sankey\"/>
    </mc:Choice>
  </mc:AlternateContent>
  <xr:revisionPtr revIDLastSave="0" documentId="13_ncr:1_{5957ED23-230D-496C-A5F6-FF82150CF50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32" i="1" l="1"/>
  <c r="I32" i="1" s="1"/>
  <c r="J32" i="1" s="1"/>
  <c r="K32" i="1" s="1"/>
  <c r="G5" i="1"/>
  <c r="I5" i="1" s="1"/>
  <c r="J5" i="1" s="1"/>
  <c r="G4" i="1"/>
  <c r="I4" i="1" s="1"/>
  <c r="J4" i="1" s="1"/>
  <c r="G3" i="1"/>
  <c r="I3" i="1" s="1"/>
  <c r="J3" i="1" s="1"/>
  <c r="G30" i="1"/>
  <c r="I30" i="1" s="1"/>
  <c r="J30" i="1" s="1"/>
  <c r="K30" i="1" s="1"/>
  <c r="G2" i="1"/>
  <c r="I2" i="1" s="1"/>
  <c r="G47" i="1"/>
  <c r="I47" i="1" s="1"/>
  <c r="J47" i="1" s="1"/>
  <c r="G48" i="1"/>
  <c r="I48" i="1" s="1"/>
  <c r="J48" i="1" s="1"/>
  <c r="K48" i="1" s="1"/>
  <c r="G49" i="1"/>
  <c r="I49" i="1" s="1"/>
  <c r="J49" i="1" s="1"/>
  <c r="K49" i="1" s="1"/>
  <c r="G50" i="1"/>
  <c r="I50" i="1" s="1"/>
  <c r="J50" i="1" s="1"/>
  <c r="K50" i="1" s="1"/>
  <c r="G51" i="1"/>
  <c r="I51" i="1" s="1"/>
  <c r="J51" i="1" s="1"/>
  <c r="K51" i="1" s="1"/>
  <c r="G52" i="1"/>
  <c r="I52" i="1" s="1"/>
  <c r="J52" i="1" s="1"/>
  <c r="K52" i="1" s="1"/>
  <c r="G7" i="1"/>
  <c r="I7" i="1" s="1"/>
  <c r="J7" i="1" s="1"/>
  <c r="K7" i="1" s="1"/>
  <c r="G9" i="1"/>
  <c r="I9" i="1" s="1"/>
  <c r="J9" i="1" s="1"/>
  <c r="K9" i="1" s="1"/>
  <c r="G8" i="1"/>
  <c r="I8" i="1" s="1"/>
  <c r="J8" i="1" s="1"/>
  <c r="K8" i="1" s="1"/>
  <c r="G10" i="1"/>
  <c r="I10" i="1" s="1"/>
  <c r="J10" i="1" s="1"/>
  <c r="K10" i="1" s="1"/>
  <c r="G6" i="1"/>
  <c r="I6" i="1" s="1"/>
  <c r="G14" i="1"/>
  <c r="I14" i="1" s="1"/>
  <c r="G15" i="1"/>
  <c r="I15" i="1" s="1"/>
  <c r="J15" i="1" s="1"/>
  <c r="G16" i="1"/>
  <c r="I16" i="1" s="1"/>
  <c r="J16" i="1" s="1"/>
  <c r="K16" i="1" s="1"/>
  <c r="G17" i="1"/>
  <c r="I17" i="1" s="1"/>
  <c r="J17" i="1" s="1"/>
  <c r="K17" i="1" s="1"/>
  <c r="G22" i="1"/>
  <c r="I22" i="1" s="1"/>
  <c r="J22" i="1" s="1"/>
  <c r="G23" i="1"/>
  <c r="I23" i="1" s="1"/>
  <c r="J23" i="1" s="1"/>
  <c r="K23" i="1" s="1"/>
  <c r="G18" i="1"/>
  <c r="I18" i="1" s="1"/>
  <c r="J18" i="1" s="1"/>
  <c r="K18" i="1" s="1"/>
  <c r="G19" i="1"/>
  <c r="G20" i="1"/>
  <c r="I20" i="1" s="1"/>
  <c r="J20" i="1" s="1"/>
  <c r="K20" i="1" s="1"/>
  <c r="G21" i="1"/>
  <c r="I21" i="1" s="1"/>
  <c r="J21" i="1" s="1"/>
  <c r="K21" i="1" s="1"/>
  <c r="G31" i="1"/>
  <c r="I31" i="1" s="1"/>
  <c r="J31" i="1" s="1"/>
  <c r="K31" i="1" s="1"/>
  <c r="G28" i="1"/>
  <c r="I28" i="1" s="1"/>
  <c r="J28" i="1" s="1"/>
  <c r="K28" i="1" s="1"/>
  <c r="G29" i="1"/>
  <c r="I29" i="1" s="1"/>
  <c r="J29" i="1" s="1"/>
  <c r="K29" i="1" s="1"/>
  <c r="G66" i="1"/>
  <c r="I66" i="1" s="1"/>
  <c r="J66" i="1" s="1"/>
  <c r="K66" i="1" s="1"/>
  <c r="G41" i="1"/>
  <c r="I41" i="1" s="1"/>
  <c r="J41" i="1" s="1"/>
  <c r="K41" i="1" s="1"/>
  <c r="G42" i="1"/>
  <c r="I42" i="1" s="1"/>
  <c r="J42" i="1" s="1"/>
  <c r="K42" i="1" s="1"/>
  <c r="G43" i="1"/>
  <c r="I43" i="1" s="1"/>
  <c r="J43" i="1" s="1"/>
  <c r="K43" i="1" s="1"/>
  <c r="G44" i="1"/>
  <c r="I44" i="1" s="1"/>
  <c r="J44" i="1" s="1"/>
  <c r="K44" i="1" s="1"/>
  <c r="G45" i="1"/>
  <c r="I45" i="1" s="1"/>
  <c r="J45" i="1" s="1"/>
  <c r="K45" i="1" s="1"/>
  <c r="G46" i="1"/>
  <c r="I46" i="1" s="1"/>
  <c r="J46" i="1" s="1"/>
  <c r="K46" i="1" s="1"/>
  <c r="G59" i="1"/>
  <c r="I59" i="1" s="1"/>
  <c r="J59" i="1" s="1"/>
  <c r="K59" i="1" s="1"/>
  <c r="G60" i="1"/>
  <c r="I60" i="1" s="1"/>
  <c r="J60" i="1" s="1"/>
  <c r="K60" i="1" s="1"/>
  <c r="G24" i="1"/>
  <c r="I24" i="1" s="1"/>
  <c r="J24" i="1" s="1"/>
  <c r="K24" i="1" s="1"/>
  <c r="G25" i="1"/>
  <c r="I25" i="1" s="1"/>
  <c r="J25" i="1" s="1"/>
  <c r="K25" i="1" s="1"/>
  <c r="G27" i="1"/>
  <c r="I27" i="1" s="1"/>
  <c r="J27" i="1" s="1"/>
  <c r="K27" i="1" s="1"/>
  <c r="G26" i="1"/>
  <c r="I26" i="1" s="1"/>
  <c r="J26" i="1" s="1"/>
  <c r="K26" i="1" s="1"/>
  <c r="G61" i="1"/>
  <c r="I61" i="1" s="1"/>
  <c r="J61" i="1" s="1"/>
  <c r="K61" i="1" s="1"/>
  <c r="G62" i="1"/>
  <c r="I62" i="1" s="1"/>
  <c r="J62" i="1" s="1"/>
  <c r="K62" i="1" s="1"/>
  <c r="G64" i="1"/>
  <c r="I64" i="1" s="1"/>
  <c r="J64" i="1" s="1"/>
  <c r="K64" i="1" s="1"/>
  <c r="G65" i="1"/>
  <c r="I65" i="1" s="1"/>
  <c r="J65" i="1" s="1"/>
  <c r="K65" i="1" s="1"/>
  <c r="G63" i="1"/>
  <c r="I63" i="1" s="1"/>
  <c r="J63" i="1" s="1"/>
  <c r="K63" i="1" s="1"/>
  <c r="G33" i="1"/>
  <c r="I33" i="1" s="1"/>
  <c r="J33" i="1" s="1"/>
  <c r="K33" i="1" s="1"/>
  <c r="G34" i="1"/>
  <c r="I34" i="1" s="1"/>
  <c r="J34" i="1" s="1"/>
  <c r="K34" i="1" s="1"/>
  <c r="G57" i="1"/>
  <c r="I57" i="1" s="1"/>
  <c r="J57" i="1" s="1"/>
  <c r="K57" i="1" s="1"/>
  <c r="G58" i="1"/>
  <c r="I58" i="1" s="1"/>
  <c r="J58" i="1" s="1"/>
  <c r="K58" i="1" s="1"/>
  <c r="G54" i="1"/>
  <c r="I54" i="1" s="1"/>
  <c r="J54" i="1" s="1"/>
  <c r="K54" i="1" s="1"/>
  <c r="G55" i="1"/>
  <c r="I55" i="1" s="1"/>
  <c r="J55" i="1" s="1"/>
  <c r="K55" i="1" s="1"/>
  <c r="G56" i="1"/>
  <c r="I56" i="1" s="1"/>
  <c r="J56" i="1" s="1"/>
  <c r="K56" i="1" s="1"/>
  <c r="G53" i="1"/>
  <c r="I53" i="1" s="1"/>
  <c r="J53" i="1" s="1"/>
  <c r="K53" i="1" s="1"/>
  <c r="G67" i="1"/>
  <c r="I67" i="1" s="1"/>
  <c r="J67" i="1" s="1"/>
  <c r="K67" i="1" s="1"/>
  <c r="G68" i="1"/>
  <c r="I68" i="1" s="1"/>
  <c r="J68" i="1" s="1"/>
  <c r="K68" i="1" s="1"/>
  <c r="G71" i="1"/>
  <c r="I71" i="1" s="1"/>
  <c r="J71" i="1" s="1"/>
  <c r="K71" i="1" s="1"/>
  <c r="G72" i="1"/>
  <c r="I72" i="1" s="1"/>
  <c r="J72" i="1" s="1"/>
  <c r="K72" i="1" s="1"/>
  <c r="G69" i="1"/>
  <c r="I69" i="1" s="1"/>
  <c r="J69" i="1" s="1"/>
  <c r="K69" i="1" s="1"/>
  <c r="G70" i="1"/>
  <c r="I70" i="1" s="1"/>
  <c r="J70" i="1" s="1"/>
  <c r="K70" i="1" s="1"/>
  <c r="G35" i="1"/>
  <c r="I35" i="1" s="1"/>
  <c r="J35" i="1" s="1"/>
  <c r="K35" i="1" s="1"/>
  <c r="G36" i="1"/>
  <c r="I36" i="1" s="1"/>
  <c r="J36" i="1" s="1"/>
  <c r="K36" i="1" s="1"/>
  <c r="G37" i="1"/>
  <c r="I37" i="1" s="1"/>
  <c r="J37" i="1" s="1"/>
  <c r="K37" i="1" s="1"/>
  <c r="G38" i="1"/>
  <c r="I38" i="1" s="1"/>
  <c r="J38" i="1" s="1"/>
  <c r="K38" i="1" s="1"/>
  <c r="G39" i="1"/>
  <c r="I39" i="1" s="1"/>
  <c r="J39" i="1" s="1"/>
  <c r="K39" i="1" s="1"/>
  <c r="G40" i="1"/>
  <c r="I40" i="1" s="1"/>
  <c r="J40" i="1" s="1"/>
  <c r="K40" i="1" s="1"/>
  <c r="G11" i="1"/>
  <c r="I11" i="1" s="1"/>
  <c r="J11" i="1" s="1"/>
  <c r="K11" i="1" s="1"/>
  <c r="G12" i="1"/>
  <c r="I12" i="1" s="1"/>
  <c r="J12" i="1" s="1"/>
  <c r="K12" i="1" s="1"/>
  <c r="G13" i="1"/>
  <c r="I13" i="1" s="1"/>
  <c r="J13" i="1" s="1"/>
  <c r="K13" i="1" s="1"/>
  <c r="I19" i="1" l="1"/>
  <c r="J19" i="1" s="1"/>
  <c r="K19" i="1" s="1"/>
  <c r="J6" i="1"/>
  <c r="K6" i="1" s="1"/>
  <c r="K15" i="1"/>
  <c r="J14" i="1"/>
  <c r="K14" i="1" s="1"/>
  <c r="J2" i="1"/>
  <c r="K2" i="1" s="1"/>
  <c r="K22" i="1"/>
  <c r="K3" i="1"/>
  <c r="K4" i="1"/>
  <c r="K5" i="1"/>
  <c r="K47" i="1"/>
</calcChain>
</file>

<file path=xl/sharedStrings.xml><?xml version="1.0" encoding="utf-8"?>
<sst xmlns="http://schemas.openxmlformats.org/spreadsheetml/2006/main" count="224" uniqueCount="83">
  <si>
    <t>source</t>
  </si>
  <si>
    <t>target</t>
  </si>
  <si>
    <t>AZ-101</t>
  </si>
  <si>
    <t>AZ-102</t>
  </si>
  <si>
    <t>AZ-103</t>
  </si>
  <si>
    <t>AZ-104</t>
  </si>
  <si>
    <t>BV-104</t>
  </si>
  <si>
    <t>BV-105</t>
  </si>
  <si>
    <t>BV-106</t>
  </si>
  <si>
    <t>PEC</t>
  </si>
  <si>
    <t>SIL-PEL</t>
  </si>
  <si>
    <t>LIQ-LIQ</t>
  </si>
  <si>
    <t>Y-120</t>
  </si>
  <si>
    <t>Y-160</t>
  </si>
  <si>
    <t>Y-170</t>
  </si>
  <si>
    <t>colector</t>
  </si>
  <si>
    <t>GF-ass</t>
  </si>
  <si>
    <t>nautas</t>
  </si>
  <si>
    <t>assecat</t>
  </si>
  <si>
    <t>E-900/E-1000</t>
  </si>
  <si>
    <t>V-700/V-800</t>
  </si>
  <si>
    <t>ext-sud</t>
  </si>
  <si>
    <t>ext-nord</t>
  </si>
  <si>
    <t>BV-107</t>
  </si>
  <si>
    <t>BV-108</t>
  </si>
  <si>
    <t>E-800</t>
  </si>
  <si>
    <t>P-400</t>
  </si>
  <si>
    <t>P-600</t>
  </si>
  <si>
    <t>SS-800</t>
  </si>
  <si>
    <t>EI-701</t>
  </si>
  <si>
    <t>EI-733</t>
  </si>
  <si>
    <t>E-100</t>
  </si>
  <si>
    <t>E-150</t>
  </si>
  <si>
    <t>E-101</t>
  </si>
  <si>
    <t>E-102</t>
  </si>
  <si>
    <t>ED-150</t>
  </si>
  <si>
    <t>EI-150</t>
  </si>
  <si>
    <t>SI-5003</t>
  </si>
  <si>
    <t>EI-801</t>
  </si>
  <si>
    <t>EI-806</t>
  </si>
  <si>
    <t>PI-601</t>
  </si>
  <si>
    <t>PR-601</t>
  </si>
  <si>
    <t>LI-651</t>
  </si>
  <si>
    <t>LI-660</t>
  </si>
  <si>
    <t>SB-670</t>
  </si>
  <si>
    <t>LI-671</t>
  </si>
  <si>
    <t>SI-801</t>
  </si>
  <si>
    <t>SI-802</t>
  </si>
  <si>
    <t>SR-710</t>
  </si>
  <si>
    <t>SR-810</t>
  </si>
  <si>
    <t>VI-710</t>
  </si>
  <si>
    <t>VI-810</t>
  </si>
  <si>
    <t>EI-906</t>
  </si>
  <si>
    <t>EI-1006</t>
  </si>
  <si>
    <t>EI-901</t>
  </si>
  <si>
    <t>EI-1001</t>
  </si>
  <si>
    <t>EI-752</t>
  </si>
  <si>
    <t>EI-772</t>
  </si>
  <si>
    <t>EI-7x2</t>
  </si>
  <si>
    <t>ER-750</t>
  </si>
  <si>
    <t>ER-770</t>
  </si>
  <si>
    <t>E-700</t>
  </si>
  <si>
    <t>SS-700B</t>
  </si>
  <si>
    <t>BV-109</t>
  </si>
  <si>
    <t>PK-201</t>
  </si>
  <si>
    <t>PK-202A</t>
  </si>
  <si>
    <t>PI-303</t>
  </si>
  <si>
    <t>PI-304</t>
  </si>
  <si>
    <t>DN</t>
  </si>
  <si>
    <t>impulsio</t>
  </si>
  <si>
    <t>cabal m3h</t>
  </si>
  <si>
    <t>cabal m3s</t>
  </si>
  <si>
    <t>velocitat ms</t>
  </si>
  <si>
    <t>area m2</t>
  </si>
  <si>
    <t>OD mm</t>
  </si>
  <si>
    <t>WT mm</t>
  </si>
  <si>
    <t>cabal kgh</t>
  </si>
  <si>
    <t>color</t>
  </si>
  <si>
    <t>rgba(0,255,0, 0.4)</t>
  </si>
  <si>
    <t>rgba(0,100,255,0.4)</t>
  </si>
  <si>
    <t>rgba(0,0,0, 0.4)</t>
  </si>
  <si>
    <t>rgba(255,255,0, 0.4)</t>
  </si>
  <si>
    <t>rgba(255,255,0,0.4)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</si>
</sst>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8"/>
      <name val="Arial"/>
      <family val="2"/>
    </font>
    <font>
      <b/>
      <sz val="9"/>
      <name val="Inter"/>
    </font>
    <font>
      <sz val="9"/>
      <name val="Arial"/>
      <family val="2"/>
    </font>
    <font>
      <sz val="9"/>
      <name val="Inter"/>
    </font>
    <font>
      <b/>
      <sz val="9"/>
      <color theme="0"/>
      <name val="Inter"/>
    </font>
    <font>
      <b/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2" fillId="0" borderId="0" xfId="0" applyFont="1"/>
    <xf numFmtId="0" fontId="6" fillId="2" borderId="1" xfId="0" applyFont="1" applyFill="1" applyBorder="1"/>
    <xf numFmtId="0" fontId="5" fillId="2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3" borderId="0" xfId="0" applyFont="1" applyFill="1"/>
    <xf numFmtId="0" fontId="4" fillId="3" borderId="0" xfId="0" applyFont="1" applyFill="1"/>
    <xf numFmtId="0" fontId="3" fillId="0" borderId="1" xfId="0" applyFont="1" applyBorder="1"/>
    <xf numFmtId="0" fontId="4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6"/>
  <sheetViews>
    <sheetView tabSelected="1" zoomScale="115" zoomScaleNormal="115" workbookViewId="0">
      <selection activeCell="C24" sqref="C24"/>
    </sheetView>
  </sheetViews>
  <sheetFormatPr defaultColWidth="11.5546875" defaultRowHeight="13.2" customHeight="1" x14ac:dyDescent="0.4"/>
  <cols>
    <col min="1" max="1" width="18.88671875" style="8" customWidth="1"/>
    <col min="2" max="2" width="11.5546875" style="8"/>
    <col min="3" max="3" width="19" style="8" customWidth="1"/>
    <col min="4" max="6" width="11.5546875" style="1"/>
    <col min="7" max="7" width="11.5546875" style="8"/>
    <col min="8" max="8" width="11.5546875" style="1"/>
    <col min="9" max="11" width="11.5546875" style="8"/>
    <col min="12" max="16384" width="11.5546875" style="1"/>
  </cols>
  <sheetData>
    <row r="1" spans="1:11" s="2" customFormat="1" ht="13.2" customHeight="1" x14ac:dyDescent="0.4">
      <c r="A1" s="3" t="s">
        <v>0</v>
      </c>
      <c r="B1" s="3" t="s">
        <v>1</v>
      </c>
      <c r="C1" s="3" t="s">
        <v>77</v>
      </c>
      <c r="D1" s="3" t="s">
        <v>68</v>
      </c>
      <c r="E1" s="3" t="s">
        <v>74</v>
      </c>
      <c r="F1" s="3" t="s">
        <v>75</v>
      </c>
      <c r="G1" s="4" t="s">
        <v>73</v>
      </c>
      <c r="H1" s="4" t="s">
        <v>72</v>
      </c>
      <c r="I1" s="4" t="s">
        <v>71</v>
      </c>
      <c r="J1" s="3" t="s">
        <v>70</v>
      </c>
      <c r="K1" s="3" t="s">
        <v>76</v>
      </c>
    </row>
    <row r="2" spans="1:11" ht="13.2" customHeight="1" x14ac:dyDescent="0.4">
      <c r="A2" s="5" t="s">
        <v>2</v>
      </c>
      <c r="B2" s="5" t="s">
        <v>69</v>
      </c>
      <c r="C2" s="5" t="s">
        <v>79</v>
      </c>
      <c r="D2" s="9">
        <v>200</v>
      </c>
      <c r="E2" s="9">
        <v>222</v>
      </c>
      <c r="F2" s="9">
        <v>3</v>
      </c>
      <c r="G2" s="6">
        <f t="shared" ref="G2:G33" si="0">(PI()/4)*((E2-2*F2)*10^-3)^2</f>
        <v>3.6643536711471345E-2</v>
      </c>
      <c r="H2" s="10">
        <v>1</v>
      </c>
      <c r="I2" s="6">
        <f t="shared" ref="I2:I33" si="1">H2*G2</f>
        <v>3.6643536711471345E-2</v>
      </c>
      <c r="J2" s="5">
        <f t="shared" ref="J2:J33" si="2">I2*3600</f>
        <v>131.91673216129684</v>
      </c>
      <c r="K2" s="5">
        <f t="shared" ref="K2:K33" si="3">J2*1000</f>
        <v>131916.73216129682</v>
      </c>
    </row>
    <row r="3" spans="1:11" ht="13.2" customHeight="1" x14ac:dyDescent="0.4">
      <c r="A3" s="5" t="s">
        <v>3</v>
      </c>
      <c r="B3" s="5" t="s">
        <v>69</v>
      </c>
      <c r="C3" s="5" t="s">
        <v>79</v>
      </c>
      <c r="D3" s="9">
        <v>200</v>
      </c>
      <c r="E3" s="9">
        <v>222</v>
      </c>
      <c r="F3" s="9">
        <v>3</v>
      </c>
      <c r="G3" s="6">
        <f t="shared" si="0"/>
        <v>3.6643536711471345E-2</v>
      </c>
      <c r="H3" s="10">
        <v>1</v>
      </c>
      <c r="I3" s="6">
        <f t="shared" si="1"/>
        <v>3.6643536711471345E-2</v>
      </c>
      <c r="J3" s="5">
        <f t="shared" si="2"/>
        <v>131.91673216129684</v>
      </c>
      <c r="K3" s="5">
        <f t="shared" si="3"/>
        <v>131916.73216129682</v>
      </c>
    </row>
    <row r="4" spans="1:11" ht="13.2" customHeight="1" x14ac:dyDescent="0.4">
      <c r="A4" s="5" t="s">
        <v>4</v>
      </c>
      <c r="B4" s="5" t="s">
        <v>69</v>
      </c>
      <c r="C4" s="5" t="s">
        <v>79</v>
      </c>
      <c r="D4" s="9">
        <v>200</v>
      </c>
      <c r="E4" s="9">
        <v>222</v>
      </c>
      <c r="F4" s="9">
        <v>3</v>
      </c>
      <c r="G4" s="6">
        <f t="shared" si="0"/>
        <v>3.6643536711471345E-2</v>
      </c>
      <c r="H4" s="10">
        <v>1</v>
      </c>
      <c r="I4" s="6">
        <f t="shared" si="1"/>
        <v>3.6643536711471345E-2</v>
      </c>
      <c r="J4" s="5">
        <f t="shared" si="2"/>
        <v>131.91673216129684</v>
      </c>
      <c r="K4" s="5">
        <f t="shared" si="3"/>
        <v>131916.73216129682</v>
      </c>
    </row>
    <row r="5" spans="1:11" ht="13.2" customHeight="1" x14ac:dyDescent="0.4">
      <c r="A5" s="5" t="s">
        <v>5</v>
      </c>
      <c r="B5" s="5" t="s">
        <v>69</v>
      </c>
      <c r="C5" s="5" t="s">
        <v>79</v>
      </c>
      <c r="D5" s="9">
        <v>200</v>
      </c>
      <c r="E5" s="9">
        <v>222</v>
      </c>
      <c r="F5" s="9">
        <v>3</v>
      </c>
      <c r="G5" s="6">
        <f t="shared" si="0"/>
        <v>3.6643536711471345E-2</v>
      </c>
      <c r="H5" s="10">
        <v>1</v>
      </c>
      <c r="I5" s="6">
        <f t="shared" si="1"/>
        <v>3.6643536711471345E-2</v>
      </c>
      <c r="J5" s="5">
        <f t="shared" si="2"/>
        <v>131.91673216129684</v>
      </c>
      <c r="K5" s="5">
        <f t="shared" si="3"/>
        <v>131916.73216129682</v>
      </c>
    </row>
    <row r="6" spans="1:11" ht="13.2" customHeight="1" x14ac:dyDescent="0.4">
      <c r="A6" s="5" t="s">
        <v>6</v>
      </c>
      <c r="B6" s="5" t="s">
        <v>15</v>
      </c>
      <c r="C6" s="5" t="s">
        <v>78</v>
      </c>
      <c r="D6" s="9">
        <v>150</v>
      </c>
      <c r="E6" s="9">
        <v>168.3</v>
      </c>
      <c r="F6" s="9">
        <v>3</v>
      </c>
      <c r="G6" s="6">
        <f t="shared" si="0"/>
        <v>2.068840078751958E-2</v>
      </c>
      <c r="H6" s="10">
        <v>3</v>
      </c>
      <c r="I6" s="6">
        <f t="shared" si="1"/>
        <v>6.206520236255874E-2</v>
      </c>
      <c r="J6" s="5">
        <f t="shared" si="2"/>
        <v>223.43472850521147</v>
      </c>
      <c r="K6" s="5">
        <f t="shared" si="3"/>
        <v>223434.72850521147</v>
      </c>
    </row>
    <row r="7" spans="1:11" ht="13.2" customHeight="1" x14ac:dyDescent="0.4">
      <c r="A7" s="5" t="s">
        <v>7</v>
      </c>
      <c r="B7" s="5" t="s">
        <v>15</v>
      </c>
      <c r="C7" s="5" t="s">
        <v>78</v>
      </c>
      <c r="D7" s="9">
        <v>150</v>
      </c>
      <c r="E7" s="9">
        <v>168.3</v>
      </c>
      <c r="F7" s="9">
        <v>3</v>
      </c>
      <c r="G7" s="6">
        <f t="shared" si="0"/>
        <v>2.068840078751958E-2</v>
      </c>
      <c r="H7" s="10">
        <v>3</v>
      </c>
      <c r="I7" s="6">
        <f t="shared" si="1"/>
        <v>6.206520236255874E-2</v>
      </c>
      <c r="J7" s="5">
        <f t="shared" si="2"/>
        <v>223.43472850521147</v>
      </c>
      <c r="K7" s="5">
        <f t="shared" si="3"/>
        <v>223434.72850521147</v>
      </c>
    </row>
    <row r="8" spans="1:11" ht="13.2" customHeight="1" x14ac:dyDescent="0.4">
      <c r="A8" s="5" t="s">
        <v>8</v>
      </c>
      <c r="B8" s="5" t="s">
        <v>15</v>
      </c>
      <c r="C8" s="5" t="s">
        <v>78</v>
      </c>
      <c r="D8" s="9">
        <v>150</v>
      </c>
      <c r="E8" s="9">
        <v>168.3</v>
      </c>
      <c r="F8" s="9">
        <v>3</v>
      </c>
      <c r="G8" s="6">
        <f t="shared" si="0"/>
        <v>2.068840078751958E-2</v>
      </c>
      <c r="H8" s="10">
        <v>3</v>
      </c>
      <c r="I8" s="6">
        <f t="shared" si="1"/>
        <v>6.206520236255874E-2</v>
      </c>
      <c r="J8" s="5">
        <f t="shared" si="2"/>
        <v>223.43472850521147</v>
      </c>
      <c r="K8" s="5">
        <f t="shared" si="3"/>
        <v>223434.72850521147</v>
      </c>
    </row>
    <row r="9" spans="1:11" ht="13.2" customHeight="1" x14ac:dyDescent="0.4">
      <c r="A9" s="5" t="s">
        <v>23</v>
      </c>
      <c r="B9" s="5" t="s">
        <v>15</v>
      </c>
      <c r="C9" s="5" t="s">
        <v>78</v>
      </c>
      <c r="D9" s="9">
        <v>150</v>
      </c>
      <c r="E9" s="9">
        <v>168.3</v>
      </c>
      <c r="F9" s="9">
        <v>3</v>
      </c>
      <c r="G9" s="6">
        <f t="shared" si="0"/>
        <v>2.068840078751958E-2</v>
      </c>
      <c r="H9" s="10">
        <v>3</v>
      </c>
      <c r="I9" s="6">
        <f t="shared" si="1"/>
        <v>6.206520236255874E-2</v>
      </c>
      <c r="J9" s="5">
        <f t="shared" si="2"/>
        <v>223.43472850521147</v>
      </c>
      <c r="K9" s="5">
        <f t="shared" si="3"/>
        <v>223434.72850521147</v>
      </c>
    </row>
    <row r="10" spans="1:11" ht="13.2" customHeight="1" x14ac:dyDescent="0.4">
      <c r="A10" s="5" t="s">
        <v>24</v>
      </c>
      <c r="B10" s="5" t="s">
        <v>15</v>
      </c>
      <c r="C10" s="5" t="s">
        <v>78</v>
      </c>
      <c r="D10" s="9">
        <v>150</v>
      </c>
      <c r="E10" s="9">
        <v>168.3</v>
      </c>
      <c r="F10" s="9">
        <v>3</v>
      </c>
      <c r="G10" s="6">
        <f t="shared" si="0"/>
        <v>2.068840078751958E-2</v>
      </c>
      <c r="H10" s="10">
        <v>3</v>
      </c>
      <c r="I10" s="6">
        <f t="shared" si="1"/>
        <v>6.206520236255874E-2</v>
      </c>
      <c r="J10" s="5">
        <f t="shared" si="2"/>
        <v>223.43472850521147</v>
      </c>
      <c r="K10" s="5">
        <f t="shared" si="3"/>
        <v>223434.72850521147</v>
      </c>
    </row>
    <row r="11" spans="1:11" ht="13.2" customHeight="1" x14ac:dyDescent="0.4">
      <c r="A11" s="5" t="s">
        <v>63</v>
      </c>
      <c r="B11" s="5" t="s">
        <v>12</v>
      </c>
      <c r="C11" s="5" t="s">
        <v>78</v>
      </c>
      <c r="D11" s="9">
        <v>129</v>
      </c>
      <c r="E11" s="9">
        <v>129</v>
      </c>
      <c r="F11" s="9">
        <v>3</v>
      </c>
      <c r="G11" s="6">
        <f t="shared" si="0"/>
        <v>1.1882288814039995E-2</v>
      </c>
      <c r="H11" s="10">
        <v>1</v>
      </c>
      <c r="I11" s="6">
        <f t="shared" si="1"/>
        <v>1.1882288814039995E-2</v>
      </c>
      <c r="J11" s="5">
        <f t="shared" si="2"/>
        <v>42.776239730543978</v>
      </c>
      <c r="K11" s="5">
        <f t="shared" si="3"/>
        <v>42776.239730543981</v>
      </c>
    </row>
    <row r="12" spans="1:11" ht="13.2" customHeight="1" x14ac:dyDescent="0.4">
      <c r="A12" s="5" t="s">
        <v>63</v>
      </c>
      <c r="B12" s="5" t="s">
        <v>13</v>
      </c>
      <c r="C12" s="5" t="s">
        <v>78</v>
      </c>
      <c r="D12" s="9">
        <v>129</v>
      </c>
      <c r="E12" s="9">
        <v>129</v>
      </c>
      <c r="F12" s="9">
        <v>3</v>
      </c>
      <c r="G12" s="6">
        <f t="shared" si="0"/>
        <v>1.1882288814039995E-2</v>
      </c>
      <c r="H12" s="10">
        <v>1</v>
      </c>
      <c r="I12" s="6">
        <f t="shared" si="1"/>
        <v>1.1882288814039995E-2</v>
      </c>
      <c r="J12" s="5">
        <f t="shared" si="2"/>
        <v>42.776239730543978</v>
      </c>
      <c r="K12" s="5">
        <f t="shared" si="3"/>
        <v>42776.239730543981</v>
      </c>
    </row>
    <row r="13" spans="1:11" ht="13.2" customHeight="1" x14ac:dyDescent="0.4">
      <c r="A13" s="5" t="s">
        <v>63</v>
      </c>
      <c r="B13" s="5" t="s">
        <v>14</v>
      </c>
      <c r="C13" s="5" t="s">
        <v>78</v>
      </c>
      <c r="D13" s="9">
        <v>100</v>
      </c>
      <c r="E13" s="9">
        <v>114</v>
      </c>
      <c r="F13" s="9">
        <v>3</v>
      </c>
      <c r="G13" s="6">
        <f t="shared" si="0"/>
        <v>9.1608841778678361E-3</v>
      </c>
      <c r="H13" s="10">
        <v>1</v>
      </c>
      <c r="I13" s="6">
        <f t="shared" si="1"/>
        <v>9.1608841778678361E-3</v>
      </c>
      <c r="J13" s="5">
        <f t="shared" si="2"/>
        <v>32.979183040324209</v>
      </c>
      <c r="K13" s="5">
        <f t="shared" si="3"/>
        <v>32979.183040324206</v>
      </c>
    </row>
    <row r="14" spans="1:11" ht="13.2" customHeight="1" x14ac:dyDescent="0.4">
      <c r="A14" s="5" t="s">
        <v>15</v>
      </c>
      <c r="B14" s="5" t="s">
        <v>16</v>
      </c>
      <c r="C14" s="5" t="s">
        <v>80</v>
      </c>
      <c r="D14" s="9"/>
      <c r="E14" s="9">
        <v>188.5</v>
      </c>
      <c r="F14" s="9"/>
      <c r="G14" s="6">
        <f t="shared" si="0"/>
        <v>2.7906963891378981E-2</v>
      </c>
      <c r="H14" s="10">
        <v>1</v>
      </c>
      <c r="I14" s="6">
        <f t="shared" si="1"/>
        <v>2.7906963891378981E-2</v>
      </c>
      <c r="J14" s="5">
        <f t="shared" si="2"/>
        <v>100.46507000896433</v>
      </c>
      <c r="K14" s="5">
        <f t="shared" si="3"/>
        <v>100465.07000896434</v>
      </c>
    </row>
    <row r="15" spans="1:11" ht="13.2" customHeight="1" x14ac:dyDescent="0.4">
      <c r="A15" s="5" t="s">
        <v>15</v>
      </c>
      <c r="B15" s="5" t="s">
        <v>17</v>
      </c>
      <c r="C15" s="5" t="s">
        <v>80</v>
      </c>
      <c r="D15" s="9"/>
      <c r="E15" s="9"/>
      <c r="F15" s="9"/>
      <c r="G15" s="6">
        <f t="shared" si="0"/>
        <v>0</v>
      </c>
      <c r="H15" s="10">
        <v>1</v>
      </c>
      <c r="I15" s="6">
        <f t="shared" si="1"/>
        <v>0</v>
      </c>
      <c r="J15" s="5">
        <f t="shared" si="2"/>
        <v>0</v>
      </c>
      <c r="K15" s="5">
        <f t="shared" si="3"/>
        <v>0</v>
      </c>
    </row>
    <row r="16" spans="1:11" ht="13.2" customHeight="1" x14ac:dyDescent="0.4">
      <c r="A16" s="5" t="s">
        <v>15</v>
      </c>
      <c r="B16" s="5" t="s">
        <v>18</v>
      </c>
      <c r="C16" s="5" t="s">
        <v>80</v>
      </c>
      <c r="D16" s="9"/>
      <c r="E16" s="9"/>
      <c r="F16" s="9"/>
      <c r="G16" s="6">
        <f t="shared" si="0"/>
        <v>0</v>
      </c>
      <c r="H16" s="10">
        <v>1</v>
      </c>
      <c r="I16" s="6">
        <f t="shared" si="1"/>
        <v>0</v>
      </c>
      <c r="J16" s="5">
        <f t="shared" si="2"/>
        <v>0</v>
      </c>
      <c r="K16" s="5">
        <f t="shared" si="3"/>
        <v>0</v>
      </c>
    </row>
    <row r="17" spans="1:11" ht="13.2" customHeight="1" x14ac:dyDescent="0.4">
      <c r="A17" s="5" t="s">
        <v>15</v>
      </c>
      <c r="B17" s="5" t="s">
        <v>9</v>
      </c>
      <c r="C17" s="5" t="s">
        <v>78</v>
      </c>
      <c r="D17" s="9">
        <v>200</v>
      </c>
      <c r="E17" s="9">
        <v>220</v>
      </c>
      <c r="F17" s="9">
        <v>3</v>
      </c>
      <c r="G17" s="6">
        <f t="shared" si="0"/>
        <v>3.5968094290949541E-2</v>
      </c>
      <c r="H17" s="10">
        <v>1</v>
      </c>
      <c r="I17" s="6">
        <f t="shared" si="1"/>
        <v>3.5968094290949541E-2</v>
      </c>
      <c r="J17" s="5">
        <f t="shared" si="2"/>
        <v>129.48513944741836</v>
      </c>
      <c r="K17" s="5">
        <f t="shared" si="3"/>
        <v>129485.13944741836</v>
      </c>
    </row>
    <row r="18" spans="1:11" ht="13.2" customHeight="1" x14ac:dyDescent="0.4">
      <c r="A18" s="5" t="s">
        <v>15</v>
      </c>
      <c r="B18" s="5" t="s">
        <v>20</v>
      </c>
      <c r="C18" s="5" t="s">
        <v>78</v>
      </c>
      <c r="D18" s="9">
        <v>150</v>
      </c>
      <c r="E18" s="9">
        <v>168.3</v>
      </c>
      <c r="F18" s="9">
        <v>3</v>
      </c>
      <c r="G18" s="6">
        <f t="shared" si="0"/>
        <v>2.068840078751958E-2</v>
      </c>
      <c r="H18" s="10">
        <v>1</v>
      </c>
      <c r="I18" s="6">
        <f t="shared" si="1"/>
        <v>2.068840078751958E-2</v>
      </c>
      <c r="J18" s="5">
        <f t="shared" si="2"/>
        <v>74.478242835070489</v>
      </c>
      <c r="K18" s="5">
        <f t="shared" si="3"/>
        <v>74478.242835070487</v>
      </c>
    </row>
    <row r="19" spans="1:11" ht="13.2" customHeight="1" x14ac:dyDescent="0.4">
      <c r="A19" s="5" t="s">
        <v>15</v>
      </c>
      <c r="B19" s="5" t="s">
        <v>19</v>
      </c>
      <c r="C19" s="5" t="s">
        <v>78</v>
      </c>
      <c r="D19" s="9">
        <v>204</v>
      </c>
      <c r="E19" s="9">
        <v>204</v>
      </c>
      <c r="F19" s="9">
        <v>3</v>
      </c>
      <c r="G19" s="6">
        <f t="shared" si="0"/>
        <v>3.0790749597833563E-2</v>
      </c>
      <c r="H19" s="10">
        <v>1</v>
      </c>
      <c r="I19" s="6">
        <f t="shared" si="1"/>
        <v>3.0790749597833563E-2</v>
      </c>
      <c r="J19" s="5">
        <f t="shared" si="2"/>
        <v>110.84669855220082</v>
      </c>
      <c r="K19" s="5">
        <f t="shared" si="3"/>
        <v>110846.69855220082</v>
      </c>
    </row>
    <row r="20" spans="1:11" ht="13.2" customHeight="1" x14ac:dyDescent="0.4">
      <c r="A20" s="5" t="s">
        <v>15</v>
      </c>
      <c r="B20" s="5" t="s">
        <v>21</v>
      </c>
      <c r="C20" s="5" t="s">
        <v>81</v>
      </c>
      <c r="D20" s="9">
        <v>200</v>
      </c>
      <c r="E20" s="9">
        <v>220</v>
      </c>
      <c r="F20" s="9">
        <v>3</v>
      </c>
      <c r="G20" s="6">
        <f t="shared" si="0"/>
        <v>3.5968094290949541E-2</v>
      </c>
      <c r="H20" s="10">
        <v>1</v>
      </c>
      <c r="I20" s="6">
        <f t="shared" si="1"/>
        <v>3.5968094290949541E-2</v>
      </c>
      <c r="J20" s="5">
        <f t="shared" si="2"/>
        <v>129.48513944741836</v>
      </c>
      <c r="K20" s="5">
        <f t="shared" si="3"/>
        <v>129485.13944741836</v>
      </c>
    </row>
    <row r="21" spans="1:11" ht="13.2" customHeight="1" x14ac:dyDescent="0.4">
      <c r="A21" s="5" t="s">
        <v>15</v>
      </c>
      <c r="B21" s="5" t="s">
        <v>22</v>
      </c>
      <c r="C21" s="5" t="s">
        <v>78</v>
      </c>
      <c r="D21" s="9">
        <v>250</v>
      </c>
      <c r="E21" s="9">
        <v>273</v>
      </c>
      <c r="F21" s="9">
        <v>3</v>
      </c>
      <c r="G21" s="6">
        <f t="shared" si="0"/>
        <v>5.5990249670440695E-2</v>
      </c>
      <c r="H21" s="10">
        <v>1</v>
      </c>
      <c r="I21" s="6">
        <f t="shared" si="1"/>
        <v>5.5990249670440695E-2</v>
      </c>
      <c r="J21" s="5">
        <f t="shared" si="2"/>
        <v>201.5648988135865</v>
      </c>
      <c r="K21" s="5">
        <f t="shared" si="3"/>
        <v>201564.89881358651</v>
      </c>
    </row>
    <row r="22" spans="1:11" ht="13.2" customHeight="1" x14ac:dyDescent="0.4">
      <c r="A22" s="5" t="s">
        <v>15</v>
      </c>
      <c r="B22" s="5" t="s">
        <v>61</v>
      </c>
      <c r="C22" s="5" t="s">
        <v>81</v>
      </c>
      <c r="D22" s="9">
        <v>200</v>
      </c>
      <c r="E22" s="9">
        <v>220</v>
      </c>
      <c r="F22" s="9">
        <v>3</v>
      </c>
      <c r="G22" s="6">
        <f t="shared" si="0"/>
        <v>3.5968094290949541E-2</v>
      </c>
      <c r="H22" s="10">
        <v>1</v>
      </c>
      <c r="I22" s="6">
        <f t="shared" si="1"/>
        <v>3.5968094290949541E-2</v>
      </c>
      <c r="J22" s="5">
        <f t="shared" si="2"/>
        <v>129.48513944741836</v>
      </c>
      <c r="K22" s="5">
        <f t="shared" si="3"/>
        <v>129485.13944741836</v>
      </c>
    </row>
    <row r="23" spans="1:11" ht="13.2" customHeight="1" x14ac:dyDescent="0.4">
      <c r="A23" s="5" t="s">
        <v>15</v>
      </c>
      <c r="B23" s="5" t="s">
        <v>62</v>
      </c>
      <c r="C23" s="5" t="s">
        <v>81</v>
      </c>
      <c r="D23" s="9">
        <v>100</v>
      </c>
      <c r="E23" s="9">
        <v>114</v>
      </c>
      <c r="F23" s="9">
        <v>3</v>
      </c>
      <c r="G23" s="6">
        <f t="shared" si="0"/>
        <v>9.1608841778678361E-3</v>
      </c>
      <c r="H23" s="10">
        <v>1</v>
      </c>
      <c r="I23" s="6">
        <f t="shared" si="1"/>
        <v>9.1608841778678361E-3</v>
      </c>
      <c r="J23" s="5">
        <f t="shared" si="2"/>
        <v>32.979183040324209</v>
      </c>
      <c r="K23" s="5">
        <f t="shared" si="3"/>
        <v>32979.183040324206</v>
      </c>
    </row>
    <row r="24" spans="1:11" ht="13.2" customHeight="1" x14ac:dyDescent="0.4">
      <c r="A24" s="5" t="s">
        <v>31</v>
      </c>
      <c r="B24" s="5" t="s">
        <v>33</v>
      </c>
      <c r="C24" s="5" t="s">
        <v>78</v>
      </c>
      <c r="D24" s="9">
        <v>80</v>
      </c>
      <c r="E24" s="9">
        <v>88.9</v>
      </c>
      <c r="F24" s="9">
        <v>3</v>
      </c>
      <c r="G24" s="6">
        <f t="shared" si="0"/>
        <v>5.3975781921142578E-3</v>
      </c>
      <c r="H24" s="10">
        <v>1</v>
      </c>
      <c r="I24" s="6">
        <f t="shared" si="1"/>
        <v>5.3975781921142578E-3</v>
      </c>
      <c r="J24" s="5">
        <f t="shared" si="2"/>
        <v>19.43128149161133</v>
      </c>
      <c r="K24" s="5">
        <f t="shared" si="3"/>
        <v>19431.281491611331</v>
      </c>
    </row>
    <row r="25" spans="1:11" ht="13.2" customHeight="1" x14ac:dyDescent="0.4">
      <c r="A25" s="5" t="s">
        <v>31</v>
      </c>
      <c r="B25" s="5" t="s">
        <v>34</v>
      </c>
      <c r="C25" s="5" t="s">
        <v>78</v>
      </c>
      <c r="D25" s="9">
        <v>80</v>
      </c>
      <c r="E25" s="9">
        <v>88.9</v>
      </c>
      <c r="F25" s="9">
        <v>3</v>
      </c>
      <c r="G25" s="6">
        <f t="shared" si="0"/>
        <v>5.3975781921142578E-3</v>
      </c>
      <c r="H25" s="10">
        <v>1</v>
      </c>
      <c r="I25" s="6">
        <f t="shared" si="1"/>
        <v>5.3975781921142578E-3</v>
      </c>
      <c r="J25" s="5">
        <f t="shared" si="2"/>
        <v>19.43128149161133</v>
      </c>
      <c r="K25" s="5">
        <f t="shared" si="3"/>
        <v>19431.281491611331</v>
      </c>
    </row>
    <row r="26" spans="1:11" ht="13.2" customHeight="1" x14ac:dyDescent="0.4">
      <c r="A26" s="5" t="s">
        <v>32</v>
      </c>
      <c r="B26" s="5" t="s">
        <v>36</v>
      </c>
      <c r="C26" s="5" t="s">
        <v>78</v>
      </c>
      <c r="D26" s="9">
        <v>50</v>
      </c>
      <c r="E26" s="9">
        <v>60.3</v>
      </c>
      <c r="F26" s="9">
        <v>3</v>
      </c>
      <c r="G26" s="6">
        <f t="shared" si="0"/>
        <v>2.3157386307957424E-3</v>
      </c>
      <c r="H26" s="10">
        <v>1</v>
      </c>
      <c r="I26" s="6">
        <f t="shared" si="1"/>
        <v>2.3157386307957424E-3</v>
      </c>
      <c r="J26" s="5">
        <f t="shared" si="2"/>
        <v>8.3366590708646733</v>
      </c>
      <c r="K26" s="5">
        <f t="shared" si="3"/>
        <v>8336.6590708646727</v>
      </c>
    </row>
    <row r="27" spans="1:11" ht="13.2" customHeight="1" x14ac:dyDescent="0.4">
      <c r="A27" s="5" t="s">
        <v>32</v>
      </c>
      <c r="B27" s="5" t="s">
        <v>35</v>
      </c>
      <c r="C27" s="5" t="s">
        <v>81</v>
      </c>
      <c r="D27" s="9">
        <v>50</v>
      </c>
      <c r="E27" s="9">
        <v>60.3</v>
      </c>
      <c r="F27" s="9">
        <v>3</v>
      </c>
      <c r="G27" s="6">
        <f t="shared" si="0"/>
        <v>2.3157386307957424E-3</v>
      </c>
      <c r="H27" s="10">
        <v>1</v>
      </c>
      <c r="I27" s="6">
        <f t="shared" si="1"/>
        <v>2.3157386307957424E-3</v>
      </c>
      <c r="J27" s="5">
        <f t="shared" si="2"/>
        <v>8.3366590708646733</v>
      </c>
      <c r="K27" s="5">
        <f t="shared" si="3"/>
        <v>8336.6590708646727</v>
      </c>
    </row>
    <row r="28" spans="1:11" ht="13.2" customHeight="1" x14ac:dyDescent="0.4">
      <c r="A28" s="5" t="s">
        <v>61</v>
      </c>
      <c r="B28" s="5" t="s">
        <v>60</v>
      </c>
      <c r="C28" s="5" t="s">
        <v>80</v>
      </c>
      <c r="D28" s="9"/>
      <c r="E28" s="9"/>
      <c r="F28" s="9"/>
      <c r="G28" s="6">
        <f t="shared" si="0"/>
        <v>0</v>
      </c>
      <c r="H28" s="10">
        <v>1</v>
      </c>
      <c r="I28" s="6">
        <f t="shared" si="1"/>
        <v>0</v>
      </c>
      <c r="J28" s="5">
        <f t="shared" si="2"/>
        <v>0</v>
      </c>
      <c r="K28" s="5">
        <f t="shared" si="3"/>
        <v>0</v>
      </c>
    </row>
    <row r="29" spans="1:11" ht="13.2" customHeight="1" x14ac:dyDescent="0.4">
      <c r="A29" s="5" t="s">
        <v>61</v>
      </c>
      <c r="B29" s="5" t="s">
        <v>59</v>
      </c>
      <c r="C29" s="5" t="s">
        <v>80</v>
      </c>
      <c r="D29" s="9"/>
      <c r="E29" s="9"/>
      <c r="F29" s="9"/>
      <c r="G29" s="6">
        <f t="shared" si="0"/>
        <v>0</v>
      </c>
      <c r="H29" s="10">
        <v>1</v>
      </c>
      <c r="I29" s="6">
        <f t="shared" si="1"/>
        <v>0</v>
      </c>
      <c r="J29" s="5">
        <f t="shared" si="2"/>
        <v>0</v>
      </c>
      <c r="K29" s="5">
        <f t="shared" si="3"/>
        <v>0</v>
      </c>
    </row>
    <row r="30" spans="1:11" ht="13.2" customHeight="1" x14ac:dyDescent="0.4">
      <c r="A30" s="5" t="s">
        <v>61</v>
      </c>
      <c r="B30" s="5" t="s">
        <v>30</v>
      </c>
      <c r="C30" s="5" t="s">
        <v>78</v>
      </c>
      <c r="D30" s="9">
        <v>80</v>
      </c>
      <c r="E30" s="9">
        <v>88.9</v>
      </c>
      <c r="F30" s="9">
        <v>3</v>
      </c>
      <c r="G30" s="6">
        <f t="shared" si="0"/>
        <v>5.3975781921142578E-3</v>
      </c>
      <c r="H30" s="10">
        <v>1</v>
      </c>
      <c r="I30" s="6">
        <f t="shared" si="1"/>
        <v>5.3975781921142578E-3</v>
      </c>
      <c r="J30" s="5">
        <f t="shared" si="2"/>
        <v>19.43128149161133</v>
      </c>
      <c r="K30" s="5">
        <f t="shared" si="3"/>
        <v>19431.281491611331</v>
      </c>
    </row>
    <row r="31" spans="1:11" ht="13.2" customHeight="1" x14ac:dyDescent="0.4">
      <c r="A31" s="5" t="s">
        <v>61</v>
      </c>
      <c r="B31" s="5" t="s">
        <v>12</v>
      </c>
      <c r="C31" s="5" t="s">
        <v>78</v>
      </c>
      <c r="D31" s="9">
        <v>125</v>
      </c>
      <c r="E31" s="9">
        <v>141</v>
      </c>
      <c r="F31" s="9">
        <v>3</v>
      </c>
      <c r="G31" s="6">
        <f t="shared" si="0"/>
        <v>1.4313881527918496E-2</v>
      </c>
      <c r="H31" s="10">
        <v>1</v>
      </c>
      <c r="I31" s="6">
        <f t="shared" si="1"/>
        <v>1.4313881527918496E-2</v>
      </c>
      <c r="J31" s="5">
        <f t="shared" si="2"/>
        <v>51.529973500506586</v>
      </c>
      <c r="K31" s="5">
        <f t="shared" si="3"/>
        <v>51529.973500506589</v>
      </c>
    </row>
    <row r="32" spans="1:11" ht="13.2" customHeight="1" x14ac:dyDescent="0.4">
      <c r="A32" s="5" t="s">
        <v>61</v>
      </c>
      <c r="B32" s="5" t="s">
        <v>58</v>
      </c>
      <c r="C32" s="5" t="s">
        <v>78</v>
      </c>
      <c r="D32" s="9">
        <v>100</v>
      </c>
      <c r="E32" s="9">
        <v>114</v>
      </c>
      <c r="F32" s="9">
        <v>3</v>
      </c>
      <c r="G32" s="6">
        <f t="shared" si="0"/>
        <v>9.1608841778678361E-3</v>
      </c>
      <c r="H32" s="10">
        <v>1</v>
      </c>
      <c r="I32" s="6">
        <f t="shared" si="1"/>
        <v>9.1608841778678361E-3</v>
      </c>
      <c r="J32" s="5">
        <f t="shared" si="2"/>
        <v>32.979183040324209</v>
      </c>
      <c r="K32" s="5">
        <f t="shared" si="3"/>
        <v>32979.183040324206</v>
      </c>
    </row>
    <row r="33" spans="1:11" ht="13.2" customHeight="1" x14ac:dyDescent="0.4">
      <c r="A33" s="5" t="s">
        <v>25</v>
      </c>
      <c r="B33" s="5" t="s">
        <v>38</v>
      </c>
      <c r="C33" s="5" t="s">
        <v>78</v>
      </c>
      <c r="D33" s="9">
        <v>80</v>
      </c>
      <c r="E33" s="9">
        <v>88.9</v>
      </c>
      <c r="F33" s="9">
        <v>3</v>
      </c>
      <c r="G33" s="6">
        <f t="shared" si="0"/>
        <v>5.3975781921142578E-3</v>
      </c>
      <c r="H33" s="10">
        <v>1</v>
      </c>
      <c r="I33" s="6">
        <f t="shared" si="1"/>
        <v>5.3975781921142578E-3</v>
      </c>
      <c r="J33" s="5">
        <f t="shared" si="2"/>
        <v>19.43128149161133</v>
      </c>
      <c r="K33" s="5">
        <f t="shared" si="3"/>
        <v>19431.281491611331</v>
      </c>
    </row>
    <row r="34" spans="1:11" ht="13.2" customHeight="1" x14ac:dyDescent="0.4">
      <c r="A34" s="5" t="s">
        <v>25</v>
      </c>
      <c r="B34" s="5" t="s">
        <v>39</v>
      </c>
      <c r="C34" s="5" t="s">
        <v>78</v>
      </c>
      <c r="D34" s="9">
        <v>125</v>
      </c>
      <c r="E34" s="9">
        <v>139.69999999999999</v>
      </c>
      <c r="F34" s="9">
        <v>3</v>
      </c>
      <c r="G34" s="6">
        <f t="shared" ref="G34:G65" si="4">(PI()/4)*((E34-2*F34)*10^-3)^2</f>
        <v>1.4039534095462129E-2</v>
      </c>
      <c r="H34" s="10">
        <v>1</v>
      </c>
      <c r="I34" s="6">
        <f t="shared" ref="I34:I65" si="5">H34*G34</f>
        <v>1.4039534095462129E-2</v>
      </c>
      <c r="J34" s="5">
        <f t="shared" ref="J34:J65" si="6">I34*3600</f>
        <v>50.542322743663661</v>
      </c>
      <c r="K34" s="5">
        <f t="shared" ref="K34:K65" si="7">J34*1000</f>
        <v>50542.322743663659</v>
      </c>
    </row>
    <row r="35" spans="1:11" ht="13.2" customHeight="1" x14ac:dyDescent="0.4">
      <c r="A35" s="5" t="s">
        <v>19</v>
      </c>
      <c r="B35" s="5" t="s">
        <v>52</v>
      </c>
      <c r="C35" s="5" t="s">
        <v>78</v>
      </c>
      <c r="D35" s="9">
        <v>125</v>
      </c>
      <c r="E35" s="9">
        <v>139.69999999999999</v>
      </c>
      <c r="F35" s="9">
        <v>3</v>
      </c>
      <c r="G35" s="6">
        <f t="shared" si="4"/>
        <v>1.4039534095462129E-2</v>
      </c>
      <c r="H35" s="10">
        <v>1</v>
      </c>
      <c r="I35" s="6">
        <f t="shared" si="5"/>
        <v>1.4039534095462129E-2</v>
      </c>
      <c r="J35" s="5">
        <f t="shared" si="6"/>
        <v>50.542322743663661</v>
      </c>
      <c r="K35" s="5">
        <f t="shared" si="7"/>
        <v>50542.322743663659</v>
      </c>
    </row>
    <row r="36" spans="1:11" ht="13.2" customHeight="1" x14ac:dyDescent="0.4">
      <c r="A36" s="5" t="s">
        <v>19</v>
      </c>
      <c r="B36" s="5" t="s">
        <v>53</v>
      </c>
      <c r="C36" s="5" t="s">
        <v>78</v>
      </c>
      <c r="D36" s="9">
        <v>125</v>
      </c>
      <c r="E36" s="9">
        <v>139.69999999999999</v>
      </c>
      <c r="F36" s="9">
        <v>3</v>
      </c>
      <c r="G36" s="6">
        <f t="shared" si="4"/>
        <v>1.4039534095462129E-2</v>
      </c>
      <c r="H36" s="10">
        <v>1</v>
      </c>
      <c r="I36" s="6">
        <f t="shared" si="5"/>
        <v>1.4039534095462129E-2</v>
      </c>
      <c r="J36" s="5">
        <f t="shared" si="6"/>
        <v>50.542322743663661</v>
      </c>
      <c r="K36" s="5">
        <f t="shared" si="7"/>
        <v>50542.322743663659</v>
      </c>
    </row>
    <row r="37" spans="1:11" ht="13.2" customHeight="1" x14ac:dyDescent="0.4">
      <c r="A37" s="5" t="s">
        <v>19</v>
      </c>
      <c r="B37" s="5" t="s">
        <v>54</v>
      </c>
      <c r="C37" s="5" t="s">
        <v>78</v>
      </c>
      <c r="D37" s="9">
        <v>80</v>
      </c>
      <c r="E37" s="9">
        <v>88.9</v>
      </c>
      <c r="F37" s="9">
        <v>3</v>
      </c>
      <c r="G37" s="6">
        <f t="shared" si="4"/>
        <v>5.3975781921142578E-3</v>
      </c>
      <c r="H37" s="10">
        <v>1</v>
      </c>
      <c r="I37" s="6">
        <f t="shared" si="5"/>
        <v>5.3975781921142578E-3</v>
      </c>
      <c r="J37" s="5">
        <f t="shared" si="6"/>
        <v>19.43128149161133</v>
      </c>
      <c r="K37" s="5">
        <f t="shared" si="7"/>
        <v>19431.281491611331</v>
      </c>
    </row>
    <row r="38" spans="1:11" ht="13.2" customHeight="1" x14ac:dyDescent="0.4">
      <c r="A38" s="5" t="s">
        <v>19</v>
      </c>
      <c r="B38" s="5" t="s">
        <v>55</v>
      </c>
      <c r="C38" s="5" t="s">
        <v>78</v>
      </c>
      <c r="D38" s="9">
        <v>80</v>
      </c>
      <c r="E38" s="9">
        <v>88.9</v>
      </c>
      <c r="F38" s="9">
        <v>3</v>
      </c>
      <c r="G38" s="6">
        <f t="shared" si="4"/>
        <v>5.3975781921142578E-3</v>
      </c>
      <c r="H38" s="10">
        <v>1</v>
      </c>
      <c r="I38" s="6">
        <f t="shared" si="5"/>
        <v>5.3975781921142578E-3</v>
      </c>
      <c r="J38" s="5">
        <f t="shared" si="6"/>
        <v>19.43128149161133</v>
      </c>
      <c r="K38" s="5">
        <f t="shared" si="7"/>
        <v>19431.281491611331</v>
      </c>
    </row>
    <row r="39" spans="1:11" ht="13.2" customHeight="1" x14ac:dyDescent="0.4">
      <c r="A39" s="5" t="s">
        <v>58</v>
      </c>
      <c r="B39" s="5" t="s">
        <v>56</v>
      </c>
      <c r="C39" s="5" t="s">
        <v>78</v>
      </c>
      <c r="D39" s="9">
        <v>80</v>
      </c>
      <c r="E39" s="9">
        <v>88.9</v>
      </c>
      <c r="F39" s="9">
        <v>3</v>
      </c>
      <c r="G39" s="6">
        <f t="shared" si="4"/>
        <v>5.3975781921142578E-3</v>
      </c>
      <c r="H39" s="10">
        <v>1</v>
      </c>
      <c r="I39" s="6">
        <f t="shared" si="5"/>
        <v>5.3975781921142578E-3</v>
      </c>
      <c r="J39" s="5">
        <f t="shared" si="6"/>
        <v>19.43128149161133</v>
      </c>
      <c r="K39" s="5">
        <f t="shared" si="7"/>
        <v>19431.281491611331</v>
      </c>
    </row>
    <row r="40" spans="1:11" ht="13.2" customHeight="1" x14ac:dyDescent="0.4">
      <c r="A40" s="5" t="s">
        <v>58</v>
      </c>
      <c r="B40" s="5" t="s">
        <v>57</v>
      </c>
      <c r="C40" s="5" t="s">
        <v>78</v>
      </c>
      <c r="D40" s="9">
        <v>65</v>
      </c>
      <c r="E40" s="9">
        <v>76.099999999999994</v>
      </c>
      <c r="F40" s="9">
        <v>3</v>
      </c>
      <c r="G40" s="6">
        <f t="shared" si="4"/>
        <v>3.8594544289166943E-3</v>
      </c>
      <c r="H40" s="10">
        <v>1</v>
      </c>
      <c r="I40" s="6">
        <f t="shared" si="5"/>
        <v>3.8594544289166943E-3</v>
      </c>
      <c r="J40" s="5">
        <f t="shared" si="6"/>
        <v>13.8940359441001</v>
      </c>
      <c r="K40" s="5">
        <f t="shared" si="7"/>
        <v>13894.0359441001</v>
      </c>
    </row>
    <row r="41" spans="1:11" ht="13.2" customHeight="1" x14ac:dyDescent="0.4">
      <c r="A41" s="5" t="s">
        <v>22</v>
      </c>
      <c r="B41" s="5" t="s">
        <v>10</v>
      </c>
      <c r="C41" s="5" t="s">
        <v>78</v>
      </c>
      <c r="D41" s="9">
        <v>100</v>
      </c>
      <c r="E41" s="9">
        <v>114</v>
      </c>
      <c r="F41" s="9">
        <v>3</v>
      </c>
      <c r="G41" s="6">
        <f t="shared" si="4"/>
        <v>9.1608841778678361E-3</v>
      </c>
      <c r="H41" s="10">
        <v>1</v>
      </c>
      <c r="I41" s="6">
        <f t="shared" si="5"/>
        <v>9.1608841778678361E-3</v>
      </c>
      <c r="J41" s="5">
        <f t="shared" si="6"/>
        <v>32.979183040324209</v>
      </c>
      <c r="K41" s="5">
        <f t="shared" si="7"/>
        <v>32979.183040324206</v>
      </c>
    </row>
    <row r="42" spans="1:11" ht="13.2" customHeight="1" x14ac:dyDescent="0.4">
      <c r="A42" s="5" t="s">
        <v>22</v>
      </c>
      <c r="B42" s="5" t="s">
        <v>25</v>
      </c>
      <c r="C42" s="5" t="s">
        <v>78</v>
      </c>
      <c r="D42" s="9">
        <v>204</v>
      </c>
      <c r="E42" s="9">
        <v>204</v>
      </c>
      <c r="F42" s="9">
        <v>3</v>
      </c>
      <c r="G42" s="6">
        <f t="shared" si="4"/>
        <v>3.0790749597833563E-2</v>
      </c>
      <c r="H42" s="10">
        <v>1</v>
      </c>
      <c r="I42" s="6">
        <f t="shared" si="5"/>
        <v>3.0790749597833563E-2</v>
      </c>
      <c r="J42" s="5">
        <f t="shared" si="6"/>
        <v>110.84669855220082</v>
      </c>
      <c r="K42" s="5">
        <f t="shared" si="7"/>
        <v>110846.69855220082</v>
      </c>
    </row>
    <row r="43" spans="1:11" ht="13.2" customHeight="1" x14ac:dyDescent="0.4">
      <c r="A43" s="5" t="s">
        <v>21</v>
      </c>
      <c r="B43" s="5" t="s">
        <v>26</v>
      </c>
      <c r="C43" s="5" t="s">
        <v>78</v>
      </c>
      <c r="D43" s="9">
        <v>80</v>
      </c>
      <c r="E43" s="9">
        <v>88.9</v>
      </c>
      <c r="F43" s="9">
        <v>3</v>
      </c>
      <c r="G43" s="6">
        <f t="shared" si="4"/>
        <v>5.3975781921142578E-3</v>
      </c>
      <c r="H43" s="10">
        <v>1</v>
      </c>
      <c r="I43" s="6">
        <f t="shared" si="5"/>
        <v>5.3975781921142578E-3</v>
      </c>
      <c r="J43" s="5">
        <f t="shared" si="6"/>
        <v>19.43128149161133</v>
      </c>
      <c r="K43" s="5">
        <f t="shared" si="7"/>
        <v>19431.281491611331</v>
      </c>
    </row>
    <row r="44" spans="1:11" ht="13.2" customHeight="1" x14ac:dyDescent="0.4">
      <c r="A44" s="5" t="s">
        <v>21</v>
      </c>
      <c r="B44" s="5" t="s">
        <v>27</v>
      </c>
      <c r="C44" s="5" t="s">
        <v>78</v>
      </c>
      <c r="D44" s="9">
        <v>50</v>
      </c>
      <c r="E44" s="9">
        <v>60.3</v>
      </c>
      <c r="F44" s="9">
        <v>3</v>
      </c>
      <c r="G44" s="6">
        <f t="shared" si="4"/>
        <v>2.3157386307957424E-3</v>
      </c>
      <c r="H44" s="10">
        <v>1</v>
      </c>
      <c r="I44" s="6">
        <f t="shared" si="5"/>
        <v>2.3157386307957424E-3</v>
      </c>
      <c r="J44" s="5">
        <f t="shared" si="6"/>
        <v>8.3366590708646733</v>
      </c>
      <c r="K44" s="5">
        <f t="shared" si="7"/>
        <v>8336.6590708646727</v>
      </c>
    </row>
    <row r="45" spans="1:11" ht="13.2" customHeight="1" x14ac:dyDescent="0.4">
      <c r="A45" s="5" t="s">
        <v>21</v>
      </c>
      <c r="B45" s="5" t="s">
        <v>11</v>
      </c>
      <c r="C45" s="5" t="s">
        <v>82</v>
      </c>
      <c r="D45" s="9">
        <v>65</v>
      </c>
      <c r="E45" s="9">
        <v>76.099999999999994</v>
      </c>
      <c r="F45" s="9">
        <v>3</v>
      </c>
      <c r="G45" s="6">
        <f t="shared" si="4"/>
        <v>3.8594544289166943E-3</v>
      </c>
      <c r="H45" s="10">
        <v>1</v>
      </c>
      <c r="I45" s="6">
        <f t="shared" si="5"/>
        <v>3.8594544289166943E-3</v>
      </c>
      <c r="J45" s="5">
        <f t="shared" si="6"/>
        <v>13.8940359441001</v>
      </c>
      <c r="K45" s="5">
        <f t="shared" si="7"/>
        <v>13894.0359441001</v>
      </c>
    </row>
    <row r="46" spans="1:11" ht="13.2" customHeight="1" x14ac:dyDescent="0.4">
      <c r="A46" s="5" t="s">
        <v>21</v>
      </c>
      <c r="B46" s="5" t="s">
        <v>28</v>
      </c>
      <c r="C46" s="5" t="s">
        <v>82</v>
      </c>
      <c r="D46" s="9">
        <v>100</v>
      </c>
      <c r="E46" s="9">
        <v>114</v>
      </c>
      <c r="F46" s="9">
        <v>3</v>
      </c>
      <c r="G46" s="6">
        <f t="shared" si="4"/>
        <v>9.1608841778678361E-3</v>
      </c>
      <c r="H46" s="10">
        <v>1</v>
      </c>
      <c r="I46" s="6">
        <f t="shared" si="5"/>
        <v>9.1608841778678361E-3</v>
      </c>
      <c r="J46" s="5">
        <f t="shared" si="6"/>
        <v>32.979183040324209</v>
      </c>
      <c r="K46" s="5">
        <f t="shared" si="7"/>
        <v>32979.183040324206</v>
      </c>
    </row>
    <row r="47" spans="1:11" ht="13.2" customHeight="1" x14ac:dyDescent="0.4">
      <c r="A47" s="5" t="s">
        <v>69</v>
      </c>
      <c r="B47" s="5" t="s">
        <v>7</v>
      </c>
      <c r="C47" s="5" t="s">
        <v>78</v>
      </c>
      <c r="D47" s="9">
        <v>200</v>
      </c>
      <c r="E47" s="10">
        <v>222</v>
      </c>
      <c r="F47" s="9">
        <v>3</v>
      </c>
      <c r="G47" s="6">
        <f t="shared" si="4"/>
        <v>3.6643536711471345E-2</v>
      </c>
      <c r="H47" s="10">
        <v>1</v>
      </c>
      <c r="I47" s="6">
        <f t="shared" si="5"/>
        <v>3.6643536711471345E-2</v>
      </c>
      <c r="J47" s="5">
        <f t="shared" si="6"/>
        <v>131.91673216129684</v>
      </c>
      <c r="K47" s="5">
        <f t="shared" si="7"/>
        <v>131916.73216129682</v>
      </c>
    </row>
    <row r="48" spans="1:11" ht="13.2" customHeight="1" x14ac:dyDescent="0.4">
      <c r="A48" s="5" t="s">
        <v>69</v>
      </c>
      <c r="B48" s="5" t="s">
        <v>23</v>
      </c>
      <c r="C48" s="5" t="s">
        <v>78</v>
      </c>
      <c r="D48" s="9">
        <v>200</v>
      </c>
      <c r="E48" s="10">
        <v>222</v>
      </c>
      <c r="F48" s="9">
        <v>3</v>
      </c>
      <c r="G48" s="6">
        <f t="shared" si="4"/>
        <v>3.6643536711471345E-2</v>
      </c>
      <c r="H48" s="10">
        <v>1</v>
      </c>
      <c r="I48" s="6">
        <f t="shared" si="5"/>
        <v>3.6643536711471345E-2</v>
      </c>
      <c r="J48" s="5">
        <f t="shared" si="6"/>
        <v>131.91673216129684</v>
      </c>
      <c r="K48" s="5">
        <f t="shared" si="7"/>
        <v>131916.73216129682</v>
      </c>
    </row>
    <row r="49" spans="1:11" ht="13.2" customHeight="1" x14ac:dyDescent="0.4">
      <c r="A49" s="5" t="s">
        <v>69</v>
      </c>
      <c r="B49" s="5" t="s">
        <v>8</v>
      </c>
      <c r="C49" s="5" t="s">
        <v>78</v>
      </c>
      <c r="D49" s="9">
        <v>200</v>
      </c>
      <c r="E49" s="10">
        <v>222</v>
      </c>
      <c r="F49" s="9">
        <v>3</v>
      </c>
      <c r="G49" s="6">
        <f t="shared" si="4"/>
        <v>3.6643536711471345E-2</v>
      </c>
      <c r="H49" s="10">
        <v>1</v>
      </c>
      <c r="I49" s="6">
        <f t="shared" si="5"/>
        <v>3.6643536711471345E-2</v>
      </c>
      <c r="J49" s="5">
        <f t="shared" si="6"/>
        <v>131.91673216129684</v>
      </c>
      <c r="K49" s="5">
        <f t="shared" si="7"/>
        <v>131916.73216129682</v>
      </c>
    </row>
    <row r="50" spans="1:11" ht="13.2" customHeight="1" x14ac:dyDescent="0.4">
      <c r="A50" s="5" t="s">
        <v>69</v>
      </c>
      <c r="B50" s="5" t="s">
        <v>24</v>
      </c>
      <c r="C50" s="5" t="s">
        <v>78</v>
      </c>
      <c r="D50" s="9">
        <v>200</v>
      </c>
      <c r="E50" s="10">
        <v>222</v>
      </c>
      <c r="F50" s="9">
        <v>3</v>
      </c>
      <c r="G50" s="6">
        <f t="shared" si="4"/>
        <v>3.6643536711471345E-2</v>
      </c>
      <c r="H50" s="10">
        <v>1</v>
      </c>
      <c r="I50" s="6">
        <f t="shared" si="5"/>
        <v>3.6643536711471345E-2</v>
      </c>
      <c r="J50" s="5">
        <f t="shared" si="6"/>
        <v>131.91673216129684</v>
      </c>
      <c r="K50" s="5">
        <f t="shared" si="7"/>
        <v>131916.73216129682</v>
      </c>
    </row>
    <row r="51" spans="1:11" ht="13.2" customHeight="1" x14ac:dyDescent="0.4">
      <c r="A51" s="5" t="s">
        <v>69</v>
      </c>
      <c r="B51" s="5" t="s">
        <v>6</v>
      </c>
      <c r="C51" s="5" t="s">
        <v>78</v>
      </c>
      <c r="D51" s="9">
        <v>200</v>
      </c>
      <c r="E51" s="10">
        <v>222</v>
      </c>
      <c r="F51" s="9">
        <v>3</v>
      </c>
      <c r="G51" s="6">
        <f t="shared" si="4"/>
        <v>3.6643536711471345E-2</v>
      </c>
      <c r="H51" s="10">
        <v>1</v>
      </c>
      <c r="I51" s="6">
        <f t="shared" si="5"/>
        <v>3.6643536711471345E-2</v>
      </c>
      <c r="J51" s="5">
        <f t="shared" si="6"/>
        <v>131.91673216129684</v>
      </c>
      <c r="K51" s="5">
        <f t="shared" si="7"/>
        <v>131916.73216129682</v>
      </c>
    </row>
    <row r="52" spans="1:11" ht="13.2" customHeight="1" x14ac:dyDescent="0.4">
      <c r="A52" s="5" t="s">
        <v>69</v>
      </c>
      <c r="B52" s="5" t="s">
        <v>63</v>
      </c>
      <c r="C52" s="5" t="s">
        <v>78</v>
      </c>
      <c r="D52" s="9">
        <v>204</v>
      </c>
      <c r="E52" s="9">
        <v>204</v>
      </c>
      <c r="F52" s="9">
        <v>3</v>
      </c>
      <c r="G52" s="6">
        <f t="shared" si="4"/>
        <v>3.0790749597833563E-2</v>
      </c>
      <c r="H52" s="10">
        <v>1</v>
      </c>
      <c r="I52" s="6">
        <f t="shared" si="5"/>
        <v>3.0790749597833563E-2</v>
      </c>
      <c r="J52" s="5">
        <f t="shared" si="6"/>
        <v>110.84669855220082</v>
      </c>
      <c r="K52" s="5">
        <f t="shared" si="7"/>
        <v>110846.69855220082</v>
      </c>
    </row>
    <row r="53" spans="1:11" ht="13.2" customHeight="1" x14ac:dyDescent="0.4">
      <c r="A53" s="5" t="s">
        <v>11</v>
      </c>
      <c r="B53" s="5" t="s">
        <v>45</v>
      </c>
      <c r="C53" s="5" t="s">
        <v>78</v>
      </c>
      <c r="D53" s="9">
        <v>50</v>
      </c>
      <c r="E53" s="9">
        <v>60.3</v>
      </c>
      <c r="F53" s="9">
        <v>3</v>
      </c>
      <c r="G53" s="6">
        <f t="shared" si="4"/>
        <v>2.3157386307957424E-3</v>
      </c>
      <c r="H53" s="10">
        <v>1</v>
      </c>
      <c r="I53" s="6">
        <f t="shared" si="5"/>
        <v>2.3157386307957424E-3</v>
      </c>
      <c r="J53" s="5">
        <f t="shared" si="6"/>
        <v>8.3366590708646733</v>
      </c>
      <c r="K53" s="5">
        <f t="shared" si="7"/>
        <v>8336.6590708646727</v>
      </c>
    </row>
    <row r="54" spans="1:11" ht="13.2" customHeight="1" x14ac:dyDescent="0.4">
      <c r="A54" s="5" t="s">
        <v>11</v>
      </c>
      <c r="B54" s="5" t="s">
        <v>42</v>
      </c>
      <c r="C54" s="5" t="s">
        <v>81</v>
      </c>
      <c r="D54" s="9">
        <v>43</v>
      </c>
      <c r="E54" s="9">
        <v>43</v>
      </c>
      <c r="F54" s="9">
        <v>3</v>
      </c>
      <c r="G54" s="6">
        <f t="shared" si="4"/>
        <v>1.0752100856911066E-3</v>
      </c>
      <c r="H54" s="10">
        <v>1</v>
      </c>
      <c r="I54" s="6">
        <f t="shared" si="5"/>
        <v>1.0752100856911066E-3</v>
      </c>
      <c r="J54" s="5">
        <f t="shared" si="6"/>
        <v>3.8707563084879837</v>
      </c>
      <c r="K54" s="5">
        <f t="shared" si="7"/>
        <v>3870.7563084879839</v>
      </c>
    </row>
    <row r="55" spans="1:11" ht="13.2" customHeight="1" x14ac:dyDescent="0.4">
      <c r="A55" s="5" t="s">
        <v>11</v>
      </c>
      <c r="B55" s="5" t="s">
        <v>43</v>
      </c>
      <c r="C55" s="5" t="s">
        <v>81</v>
      </c>
      <c r="D55" s="9">
        <v>40</v>
      </c>
      <c r="E55" s="9">
        <v>48.3</v>
      </c>
      <c r="F55" s="9">
        <v>3</v>
      </c>
      <c r="G55" s="6">
        <f t="shared" si="4"/>
        <v>1.4053050797854202E-3</v>
      </c>
      <c r="H55" s="10">
        <v>1</v>
      </c>
      <c r="I55" s="6">
        <f t="shared" si="5"/>
        <v>1.4053050797854202E-3</v>
      </c>
      <c r="J55" s="5">
        <f t="shared" si="6"/>
        <v>5.0590982872275125</v>
      </c>
      <c r="K55" s="5">
        <f t="shared" si="7"/>
        <v>5059.0982872275126</v>
      </c>
    </row>
    <row r="56" spans="1:11" ht="13.2" customHeight="1" x14ac:dyDescent="0.4">
      <c r="A56" s="5" t="s">
        <v>11</v>
      </c>
      <c r="B56" s="5" t="s">
        <v>44</v>
      </c>
      <c r="C56" s="5" t="s">
        <v>81</v>
      </c>
      <c r="D56" s="9">
        <v>100</v>
      </c>
      <c r="E56" s="9">
        <v>114</v>
      </c>
      <c r="F56" s="9">
        <v>3</v>
      </c>
      <c r="G56" s="6">
        <f t="shared" si="4"/>
        <v>9.1608841778678361E-3</v>
      </c>
      <c r="H56" s="10">
        <v>1</v>
      </c>
      <c r="I56" s="6">
        <f t="shared" si="5"/>
        <v>9.1608841778678361E-3</v>
      </c>
      <c r="J56" s="5">
        <f t="shared" si="6"/>
        <v>32.979183040324209</v>
      </c>
      <c r="K56" s="5">
        <f t="shared" si="7"/>
        <v>32979.183040324206</v>
      </c>
    </row>
    <row r="57" spans="1:11" ht="13.2" customHeight="1" x14ac:dyDescent="0.4">
      <c r="A57" s="5" t="s">
        <v>27</v>
      </c>
      <c r="B57" s="5" t="s">
        <v>40</v>
      </c>
      <c r="C57" s="5" t="s">
        <v>78</v>
      </c>
      <c r="D57" s="9">
        <v>50</v>
      </c>
      <c r="E57" s="9">
        <v>60.3</v>
      </c>
      <c r="F57" s="9">
        <v>3</v>
      </c>
      <c r="G57" s="6">
        <f t="shared" si="4"/>
        <v>2.3157386307957424E-3</v>
      </c>
      <c r="H57" s="10">
        <v>1</v>
      </c>
      <c r="I57" s="6">
        <f t="shared" si="5"/>
        <v>2.3157386307957424E-3</v>
      </c>
      <c r="J57" s="5">
        <f t="shared" si="6"/>
        <v>8.3366590708646733</v>
      </c>
      <c r="K57" s="5">
        <f t="shared" si="7"/>
        <v>8336.6590708646727</v>
      </c>
    </row>
    <row r="58" spans="1:11" ht="13.2" customHeight="1" x14ac:dyDescent="0.4">
      <c r="A58" s="5" t="s">
        <v>27</v>
      </c>
      <c r="B58" s="5" t="s">
        <v>41</v>
      </c>
      <c r="C58" s="5" t="s">
        <v>81</v>
      </c>
      <c r="D58" s="9">
        <v>50</v>
      </c>
      <c r="E58" s="9">
        <v>60.3</v>
      </c>
      <c r="F58" s="9">
        <v>3</v>
      </c>
      <c r="G58" s="6">
        <f t="shared" si="4"/>
        <v>2.3157386307957424E-3</v>
      </c>
      <c r="H58" s="10">
        <v>1</v>
      </c>
      <c r="I58" s="6">
        <f t="shared" si="5"/>
        <v>2.3157386307957424E-3</v>
      </c>
      <c r="J58" s="5">
        <f t="shared" si="6"/>
        <v>8.3366590708646733</v>
      </c>
      <c r="K58" s="5">
        <f t="shared" si="7"/>
        <v>8336.6590708646727</v>
      </c>
    </row>
    <row r="59" spans="1:11" ht="13.2" customHeight="1" x14ac:dyDescent="0.4">
      <c r="A59" s="5" t="s">
        <v>9</v>
      </c>
      <c r="B59" s="5" t="s">
        <v>31</v>
      </c>
      <c r="C59" s="5" t="s">
        <v>78</v>
      </c>
      <c r="D59" s="9">
        <v>125</v>
      </c>
      <c r="E59" s="9">
        <v>141</v>
      </c>
      <c r="F59" s="9">
        <v>3</v>
      </c>
      <c r="G59" s="6">
        <f t="shared" si="4"/>
        <v>1.4313881527918496E-2</v>
      </c>
      <c r="H59" s="10">
        <v>1</v>
      </c>
      <c r="I59" s="6">
        <f t="shared" si="5"/>
        <v>1.4313881527918496E-2</v>
      </c>
      <c r="J59" s="5">
        <f t="shared" si="6"/>
        <v>51.529973500506586</v>
      </c>
      <c r="K59" s="5">
        <f t="shared" si="7"/>
        <v>51529.973500506589</v>
      </c>
    </row>
    <row r="60" spans="1:11" ht="13.2" customHeight="1" x14ac:dyDescent="0.4">
      <c r="A60" s="5" t="s">
        <v>9</v>
      </c>
      <c r="B60" s="5" t="s">
        <v>32</v>
      </c>
      <c r="C60" s="5" t="s">
        <v>78</v>
      </c>
      <c r="D60" s="9">
        <v>200</v>
      </c>
      <c r="E60" s="9">
        <v>220</v>
      </c>
      <c r="F60" s="9">
        <v>3</v>
      </c>
      <c r="G60" s="6">
        <f t="shared" si="4"/>
        <v>3.5968094290949541E-2</v>
      </c>
      <c r="H60" s="10">
        <v>1</v>
      </c>
      <c r="I60" s="6">
        <f t="shared" si="5"/>
        <v>3.5968094290949541E-2</v>
      </c>
      <c r="J60" s="5">
        <f t="shared" si="6"/>
        <v>129.48513944741836</v>
      </c>
      <c r="K60" s="5">
        <f t="shared" si="7"/>
        <v>129485.13944741836</v>
      </c>
    </row>
    <row r="61" spans="1:11" ht="13.2" customHeight="1" x14ac:dyDescent="0.4">
      <c r="A61" s="5" t="s">
        <v>10</v>
      </c>
      <c r="B61" s="5" t="s">
        <v>64</v>
      </c>
      <c r="C61" s="5" t="s">
        <v>78</v>
      </c>
      <c r="D61" s="9">
        <v>65</v>
      </c>
      <c r="E61" s="9">
        <v>76.099999999999994</v>
      </c>
      <c r="F61" s="9">
        <v>3</v>
      </c>
      <c r="G61" s="6">
        <f t="shared" si="4"/>
        <v>3.8594544289166943E-3</v>
      </c>
      <c r="H61" s="10">
        <v>1</v>
      </c>
      <c r="I61" s="6">
        <f t="shared" si="5"/>
        <v>3.8594544289166943E-3</v>
      </c>
      <c r="J61" s="5">
        <f t="shared" si="6"/>
        <v>13.8940359441001</v>
      </c>
      <c r="K61" s="5">
        <f t="shared" si="7"/>
        <v>13894.0359441001</v>
      </c>
    </row>
    <row r="62" spans="1:11" ht="13.2" customHeight="1" x14ac:dyDescent="0.4">
      <c r="A62" s="5" t="s">
        <v>10</v>
      </c>
      <c r="B62" s="5" t="s">
        <v>65</v>
      </c>
      <c r="C62" s="5" t="s">
        <v>78</v>
      </c>
      <c r="D62" s="9">
        <v>65</v>
      </c>
      <c r="E62" s="9">
        <v>76.099999999999994</v>
      </c>
      <c r="F62" s="9">
        <v>3</v>
      </c>
      <c r="G62" s="6">
        <f t="shared" si="4"/>
        <v>3.8594544289166943E-3</v>
      </c>
      <c r="H62" s="10">
        <v>1</v>
      </c>
      <c r="I62" s="6">
        <f t="shared" si="5"/>
        <v>3.8594544289166943E-3</v>
      </c>
      <c r="J62" s="5">
        <f t="shared" si="6"/>
        <v>13.8940359441001</v>
      </c>
      <c r="K62" s="5">
        <f t="shared" si="7"/>
        <v>13894.0359441001</v>
      </c>
    </row>
    <row r="63" spans="1:11" ht="13.2" customHeight="1" x14ac:dyDescent="0.4">
      <c r="A63" s="5" t="s">
        <v>10</v>
      </c>
      <c r="B63" s="5" t="s">
        <v>37</v>
      </c>
      <c r="C63" s="5" t="s">
        <v>78</v>
      </c>
      <c r="D63" s="9">
        <v>32</v>
      </c>
      <c r="E63" s="9">
        <v>42.2</v>
      </c>
      <c r="F63" s="9">
        <v>3</v>
      </c>
      <c r="G63" s="6">
        <f t="shared" si="4"/>
        <v>1.0292171692425523E-3</v>
      </c>
      <c r="H63" s="10">
        <v>1</v>
      </c>
      <c r="I63" s="6">
        <f t="shared" si="5"/>
        <v>1.0292171692425523E-3</v>
      </c>
      <c r="J63" s="5">
        <f t="shared" si="6"/>
        <v>3.7051818092731881</v>
      </c>
      <c r="K63" s="5">
        <f t="shared" si="7"/>
        <v>3705.1818092731883</v>
      </c>
    </row>
    <row r="64" spans="1:11" ht="13.2" customHeight="1" x14ac:dyDescent="0.4">
      <c r="A64" s="5" t="s">
        <v>10</v>
      </c>
      <c r="B64" s="5" t="s">
        <v>66</v>
      </c>
      <c r="C64" s="5" t="s">
        <v>81</v>
      </c>
      <c r="D64" s="9">
        <v>50</v>
      </c>
      <c r="E64" s="9">
        <v>60.3</v>
      </c>
      <c r="F64" s="9">
        <v>3</v>
      </c>
      <c r="G64" s="6">
        <f t="shared" si="4"/>
        <v>2.3157386307957424E-3</v>
      </c>
      <c r="H64" s="10">
        <v>1</v>
      </c>
      <c r="I64" s="6">
        <f t="shared" si="5"/>
        <v>2.3157386307957424E-3</v>
      </c>
      <c r="J64" s="5">
        <f t="shared" si="6"/>
        <v>8.3366590708646733</v>
      </c>
      <c r="K64" s="5">
        <f t="shared" si="7"/>
        <v>8336.6590708646727</v>
      </c>
    </row>
    <row r="65" spans="1:11" ht="13.2" customHeight="1" x14ac:dyDescent="0.4">
      <c r="A65" s="5" t="s">
        <v>10</v>
      </c>
      <c r="B65" s="5" t="s">
        <v>67</v>
      </c>
      <c r="C65" s="5" t="s">
        <v>81</v>
      </c>
      <c r="D65" s="9">
        <v>50</v>
      </c>
      <c r="E65" s="9">
        <v>60.3</v>
      </c>
      <c r="F65" s="9">
        <v>3</v>
      </c>
      <c r="G65" s="6">
        <f t="shared" si="4"/>
        <v>2.3157386307957424E-3</v>
      </c>
      <c r="H65" s="10">
        <v>1</v>
      </c>
      <c r="I65" s="6">
        <f t="shared" si="5"/>
        <v>2.3157386307957424E-3</v>
      </c>
      <c r="J65" s="5">
        <f t="shared" si="6"/>
        <v>8.3366590708646733</v>
      </c>
      <c r="K65" s="5">
        <f t="shared" si="7"/>
        <v>8336.6590708646727</v>
      </c>
    </row>
    <row r="66" spans="1:11" ht="13.2" customHeight="1" x14ac:dyDescent="0.4">
      <c r="A66" s="5" t="s">
        <v>62</v>
      </c>
      <c r="B66" s="5" t="s">
        <v>29</v>
      </c>
      <c r="C66" s="5" t="s">
        <v>81</v>
      </c>
      <c r="D66" s="9">
        <v>80</v>
      </c>
      <c r="E66" s="9">
        <v>88.9</v>
      </c>
      <c r="F66" s="9">
        <v>3</v>
      </c>
      <c r="G66" s="6">
        <f t="shared" ref="G66:G97" si="8">(PI()/4)*((E66-2*F66)*10^-3)^2</f>
        <v>5.3975781921142578E-3</v>
      </c>
      <c r="H66" s="10">
        <v>1</v>
      </c>
      <c r="I66" s="6">
        <f t="shared" ref="I66:I97" si="9">H66*G66</f>
        <v>5.3975781921142578E-3</v>
      </c>
      <c r="J66" s="5">
        <f t="shared" ref="J66:J97" si="10">I66*3600</f>
        <v>19.43128149161133</v>
      </c>
      <c r="K66" s="5">
        <f t="shared" ref="K66:K97" si="11">J66*1000</f>
        <v>19431.281491611331</v>
      </c>
    </row>
    <row r="67" spans="1:11" ht="13.2" customHeight="1" x14ac:dyDescent="0.4">
      <c r="A67" s="5" t="s">
        <v>28</v>
      </c>
      <c r="B67" s="5" t="s">
        <v>46</v>
      </c>
      <c r="C67" s="5" t="s">
        <v>81</v>
      </c>
      <c r="D67" s="9">
        <v>80</v>
      </c>
      <c r="E67" s="9">
        <v>88.9</v>
      </c>
      <c r="F67" s="9">
        <v>3</v>
      </c>
      <c r="G67" s="6">
        <f t="shared" si="8"/>
        <v>5.3975781921142578E-3</v>
      </c>
      <c r="H67" s="10">
        <v>1</v>
      </c>
      <c r="I67" s="6">
        <f t="shared" si="9"/>
        <v>5.3975781921142578E-3</v>
      </c>
      <c r="J67" s="5">
        <f t="shared" si="10"/>
        <v>19.43128149161133</v>
      </c>
      <c r="K67" s="5">
        <f t="shared" si="11"/>
        <v>19431.281491611331</v>
      </c>
    </row>
    <row r="68" spans="1:11" ht="13.2" customHeight="1" x14ac:dyDescent="0.4">
      <c r="A68" s="5" t="s">
        <v>28</v>
      </c>
      <c r="B68" s="5" t="s">
        <v>47</v>
      </c>
      <c r="C68" s="5" t="s">
        <v>81</v>
      </c>
      <c r="D68" s="9">
        <v>50</v>
      </c>
      <c r="E68" s="9">
        <v>60.3</v>
      </c>
      <c r="F68" s="9">
        <v>3</v>
      </c>
      <c r="G68" s="6">
        <f t="shared" si="8"/>
        <v>2.3157386307957424E-3</v>
      </c>
      <c r="H68" s="10">
        <v>1</v>
      </c>
      <c r="I68" s="6">
        <f t="shared" si="9"/>
        <v>2.3157386307957424E-3</v>
      </c>
      <c r="J68" s="5">
        <f t="shared" si="10"/>
        <v>8.3366590708646733</v>
      </c>
      <c r="K68" s="5">
        <f t="shared" si="11"/>
        <v>8336.6590708646727</v>
      </c>
    </row>
    <row r="69" spans="1:11" ht="13.2" customHeight="1" x14ac:dyDescent="0.4">
      <c r="A69" s="5" t="s">
        <v>20</v>
      </c>
      <c r="B69" s="5" t="s">
        <v>50</v>
      </c>
      <c r="C69" s="5" t="s">
        <v>78</v>
      </c>
      <c r="D69" s="9">
        <v>73</v>
      </c>
      <c r="E69" s="9">
        <v>73</v>
      </c>
      <c r="F69" s="9">
        <v>3</v>
      </c>
      <c r="G69" s="6">
        <f t="shared" si="8"/>
        <v>3.5256523554911458E-3</v>
      </c>
      <c r="H69" s="10">
        <v>1</v>
      </c>
      <c r="I69" s="6">
        <f t="shared" si="9"/>
        <v>3.5256523554911458E-3</v>
      </c>
      <c r="J69" s="5">
        <f t="shared" si="10"/>
        <v>12.692348479768125</v>
      </c>
      <c r="K69" s="5">
        <f t="shared" si="11"/>
        <v>12692.348479768125</v>
      </c>
    </row>
    <row r="70" spans="1:11" ht="13.2" customHeight="1" x14ac:dyDescent="0.4">
      <c r="A70" s="5" t="s">
        <v>20</v>
      </c>
      <c r="B70" s="5" t="s">
        <v>51</v>
      </c>
      <c r="C70" s="5" t="s">
        <v>78</v>
      </c>
      <c r="D70" s="9">
        <v>65</v>
      </c>
      <c r="E70" s="9">
        <v>76.099999999999994</v>
      </c>
      <c r="F70" s="9">
        <v>3</v>
      </c>
      <c r="G70" s="6">
        <f t="shared" si="8"/>
        <v>3.8594544289166943E-3</v>
      </c>
      <c r="H70" s="10">
        <v>1</v>
      </c>
      <c r="I70" s="6">
        <f t="shared" si="9"/>
        <v>3.8594544289166943E-3</v>
      </c>
      <c r="J70" s="5">
        <f t="shared" si="10"/>
        <v>13.8940359441001</v>
      </c>
      <c r="K70" s="5">
        <f t="shared" si="11"/>
        <v>13894.0359441001</v>
      </c>
    </row>
    <row r="71" spans="1:11" ht="13.2" customHeight="1" x14ac:dyDescent="0.4">
      <c r="A71" s="5" t="s">
        <v>20</v>
      </c>
      <c r="B71" s="5" t="s">
        <v>48</v>
      </c>
      <c r="C71" s="5" t="s">
        <v>81</v>
      </c>
      <c r="D71" s="9">
        <v>50</v>
      </c>
      <c r="E71" s="9">
        <v>60.3</v>
      </c>
      <c r="F71" s="9">
        <v>3</v>
      </c>
      <c r="G71" s="6">
        <f t="shared" si="8"/>
        <v>2.3157386307957424E-3</v>
      </c>
      <c r="H71" s="10">
        <v>1</v>
      </c>
      <c r="I71" s="6">
        <f t="shared" si="9"/>
        <v>2.3157386307957424E-3</v>
      </c>
      <c r="J71" s="5">
        <f t="shared" si="10"/>
        <v>8.3366590708646733</v>
      </c>
      <c r="K71" s="5">
        <f t="shared" si="11"/>
        <v>8336.6590708646727</v>
      </c>
    </row>
    <row r="72" spans="1:11" ht="13.2" customHeight="1" x14ac:dyDescent="0.4">
      <c r="A72" s="5" t="s">
        <v>20</v>
      </c>
      <c r="B72" s="5" t="s">
        <v>49</v>
      </c>
      <c r="C72" s="5" t="s">
        <v>81</v>
      </c>
      <c r="D72" s="9">
        <v>50</v>
      </c>
      <c r="E72" s="9">
        <v>60.3</v>
      </c>
      <c r="F72" s="9">
        <v>3</v>
      </c>
      <c r="G72" s="6">
        <f t="shared" si="8"/>
        <v>2.3157386307957424E-3</v>
      </c>
      <c r="H72" s="10">
        <v>1</v>
      </c>
      <c r="I72" s="6">
        <f t="shared" si="9"/>
        <v>2.3157386307957424E-3</v>
      </c>
      <c r="J72" s="5">
        <f t="shared" si="10"/>
        <v>8.3366590708646733</v>
      </c>
      <c r="K72" s="5">
        <f t="shared" si="11"/>
        <v>8336.6590708646727</v>
      </c>
    </row>
    <row r="73" spans="1:11" ht="13.2" customHeight="1" x14ac:dyDescent="0.4">
      <c r="A73" s="7"/>
      <c r="B73" s="7"/>
      <c r="C73" s="7"/>
      <c r="D73" s="11"/>
      <c r="E73" s="11"/>
      <c r="F73" s="11"/>
      <c r="J73" s="7"/>
    </row>
    <row r="74" spans="1:11" ht="13.2" customHeight="1" x14ac:dyDescent="0.4">
      <c r="A74" s="7"/>
      <c r="B74" s="7"/>
      <c r="C74" s="7"/>
      <c r="D74" s="11"/>
      <c r="E74" s="11"/>
      <c r="F74" s="11"/>
      <c r="J74" s="7"/>
    </row>
    <row r="75" spans="1:11" ht="13.2" customHeight="1" x14ac:dyDescent="0.4">
      <c r="A75" s="7"/>
      <c r="B75" s="7"/>
      <c r="C75" s="7"/>
      <c r="D75" s="11"/>
      <c r="E75" s="11"/>
      <c r="F75" s="11"/>
      <c r="J75" s="7"/>
    </row>
    <row r="76" spans="1:11" ht="13.2" customHeight="1" x14ac:dyDescent="0.4">
      <c r="A76" s="7"/>
      <c r="B76" s="7"/>
      <c r="C76" s="7"/>
      <c r="D76" s="11"/>
      <c r="E76" s="11"/>
      <c r="F76" s="11"/>
      <c r="J76" s="7"/>
    </row>
    <row r="77" spans="1:11" ht="13.2" customHeight="1" x14ac:dyDescent="0.4">
      <c r="A77" s="7"/>
      <c r="B77" s="7"/>
      <c r="C77" s="7"/>
      <c r="D77" s="11"/>
      <c r="E77" s="11"/>
      <c r="F77" s="11"/>
      <c r="J77" s="7"/>
    </row>
    <row r="78" spans="1:11" ht="13.2" customHeight="1" x14ac:dyDescent="0.4">
      <c r="A78" s="7"/>
      <c r="B78" s="7"/>
      <c r="C78" s="7"/>
      <c r="D78" s="11"/>
      <c r="E78" s="11"/>
      <c r="F78" s="11"/>
      <c r="J78" s="7"/>
    </row>
    <row r="79" spans="1:11" ht="13.2" customHeight="1" x14ac:dyDescent="0.4">
      <c r="A79" s="7"/>
      <c r="B79" s="7"/>
      <c r="C79" s="7"/>
      <c r="D79" s="11"/>
      <c r="E79" s="11"/>
      <c r="F79" s="11"/>
      <c r="J79" s="7"/>
    </row>
    <row r="80" spans="1:11" ht="13.2" customHeight="1" x14ac:dyDescent="0.4">
      <c r="A80" s="7"/>
      <c r="B80" s="7"/>
      <c r="C80" s="7"/>
      <c r="D80" s="11"/>
      <c r="E80" s="11"/>
      <c r="F80" s="11"/>
      <c r="J80" s="7"/>
    </row>
    <row r="81" spans="1:10" ht="13.2" customHeight="1" x14ac:dyDescent="0.4">
      <c r="A81" s="7"/>
      <c r="B81" s="7"/>
      <c r="C81" s="7"/>
      <c r="D81" s="11"/>
      <c r="E81" s="11"/>
      <c r="F81" s="11"/>
      <c r="J81" s="7"/>
    </row>
    <row r="82" spans="1:10" ht="13.2" customHeight="1" x14ac:dyDescent="0.4">
      <c r="A82" s="7"/>
      <c r="B82" s="7"/>
      <c r="C82" s="7"/>
      <c r="D82" s="11"/>
      <c r="E82" s="11"/>
      <c r="F82" s="11"/>
      <c r="J82" s="7"/>
    </row>
    <row r="83" spans="1:10" ht="13.2" customHeight="1" x14ac:dyDescent="0.4">
      <c r="A83" s="7"/>
      <c r="B83" s="7"/>
      <c r="C83" s="7"/>
      <c r="D83" s="11"/>
      <c r="E83" s="11"/>
      <c r="F83" s="11"/>
      <c r="J83" s="7"/>
    </row>
    <row r="84" spans="1:10" ht="13.2" customHeight="1" x14ac:dyDescent="0.4">
      <c r="A84" s="7"/>
      <c r="B84" s="7"/>
      <c r="C84" s="7"/>
      <c r="D84" s="11"/>
      <c r="E84" s="11"/>
      <c r="F84" s="11"/>
      <c r="J84" s="7"/>
    </row>
    <row r="85" spans="1:10" ht="13.2" customHeight="1" x14ac:dyDescent="0.4">
      <c r="A85" s="7"/>
      <c r="B85" s="7"/>
      <c r="C85" s="7"/>
      <c r="D85" s="11"/>
      <c r="E85" s="11"/>
      <c r="F85" s="11"/>
      <c r="J85" s="7"/>
    </row>
    <row r="86" spans="1:10" ht="13.2" customHeight="1" x14ac:dyDescent="0.4">
      <c r="A86" s="7"/>
      <c r="B86" s="7"/>
      <c r="C86" s="7"/>
      <c r="D86" s="11"/>
      <c r="E86" s="11"/>
      <c r="F86" s="11"/>
      <c r="J86" s="7"/>
    </row>
    <row r="87" spans="1:10" ht="13.2" customHeight="1" x14ac:dyDescent="0.4">
      <c r="A87" s="7"/>
      <c r="B87" s="7"/>
      <c r="C87" s="7"/>
      <c r="D87" s="11"/>
      <c r="E87" s="11"/>
      <c r="F87" s="11"/>
      <c r="J87" s="7"/>
    </row>
    <row r="88" spans="1:10" ht="13.2" customHeight="1" x14ac:dyDescent="0.4">
      <c r="A88" s="7"/>
      <c r="B88" s="7"/>
      <c r="C88" s="7"/>
      <c r="D88" s="11"/>
      <c r="E88" s="11"/>
      <c r="F88" s="11"/>
      <c r="J88" s="7"/>
    </row>
    <row r="89" spans="1:10" ht="13.2" customHeight="1" x14ac:dyDescent="0.4">
      <c r="A89" s="7"/>
      <c r="B89" s="7"/>
      <c r="C89" s="7"/>
      <c r="D89" s="11"/>
      <c r="E89" s="11"/>
      <c r="F89" s="11"/>
      <c r="J89" s="7"/>
    </row>
    <row r="90" spans="1:10" ht="13.2" customHeight="1" x14ac:dyDescent="0.4">
      <c r="A90" s="7"/>
      <c r="B90" s="7"/>
      <c r="C90" s="7"/>
      <c r="D90" s="11"/>
      <c r="E90" s="11"/>
      <c r="F90" s="11"/>
      <c r="J90" s="7"/>
    </row>
    <row r="91" spans="1:10" ht="13.2" customHeight="1" x14ac:dyDescent="0.4">
      <c r="A91" s="7"/>
      <c r="B91" s="7"/>
      <c r="C91" s="7"/>
      <c r="D91" s="11"/>
      <c r="E91" s="11"/>
      <c r="F91" s="11"/>
      <c r="J91" s="7"/>
    </row>
    <row r="92" spans="1:10" ht="13.2" customHeight="1" x14ac:dyDescent="0.4">
      <c r="A92" s="7"/>
      <c r="B92" s="7"/>
      <c r="C92" s="7"/>
      <c r="D92" s="11"/>
      <c r="E92" s="11"/>
      <c r="F92" s="11"/>
      <c r="J92" s="7"/>
    </row>
    <row r="93" spans="1:10" ht="13.2" customHeight="1" x14ac:dyDescent="0.4">
      <c r="A93" s="7"/>
      <c r="B93" s="7"/>
      <c r="C93" s="7"/>
      <c r="D93" s="11"/>
      <c r="E93" s="11"/>
      <c r="F93" s="11"/>
      <c r="J93" s="7"/>
    </row>
    <row r="94" spans="1:10" ht="13.2" customHeight="1" x14ac:dyDescent="0.4">
      <c r="A94" s="7"/>
      <c r="B94" s="7"/>
      <c r="C94" s="7"/>
      <c r="D94" s="11"/>
      <c r="E94" s="11"/>
      <c r="F94" s="11"/>
      <c r="J94" s="7"/>
    </row>
    <row r="95" spans="1:10" ht="13.2" customHeight="1" x14ac:dyDescent="0.4">
      <c r="A95" s="7"/>
      <c r="B95" s="7"/>
      <c r="C95" s="7"/>
      <c r="D95" s="11"/>
      <c r="E95" s="11"/>
      <c r="F95" s="11"/>
      <c r="J95" s="7"/>
    </row>
    <row r="96" spans="1:10" ht="13.2" customHeight="1" x14ac:dyDescent="0.4">
      <c r="A96" s="7"/>
      <c r="B96" s="7"/>
      <c r="C96" s="7"/>
      <c r="D96" s="11"/>
      <c r="E96" s="11"/>
      <c r="F96" s="11"/>
      <c r="J96" s="7"/>
    </row>
    <row r="97" spans="1:10" ht="13.2" customHeight="1" x14ac:dyDescent="0.4">
      <c r="A97" s="7"/>
      <c r="B97" s="7"/>
      <c r="C97" s="7"/>
      <c r="D97" s="11"/>
      <c r="E97" s="11"/>
      <c r="F97" s="11"/>
      <c r="J97" s="7"/>
    </row>
    <row r="98" spans="1:10" ht="13.2" customHeight="1" x14ac:dyDescent="0.4">
      <c r="A98" s="7"/>
      <c r="B98" s="7"/>
      <c r="C98" s="7"/>
      <c r="D98" s="11"/>
      <c r="E98" s="11"/>
      <c r="F98" s="11"/>
      <c r="J98" s="7"/>
    </row>
    <row r="99" spans="1:10" ht="13.2" customHeight="1" x14ac:dyDescent="0.4">
      <c r="A99" s="7"/>
      <c r="B99" s="7"/>
      <c r="C99" s="7"/>
      <c r="D99" s="11"/>
      <c r="E99" s="11"/>
      <c r="F99" s="11"/>
      <c r="J99" s="7"/>
    </row>
    <row r="100" spans="1:10" ht="13.2" customHeight="1" x14ac:dyDescent="0.4">
      <c r="A100" s="7"/>
      <c r="B100" s="7"/>
      <c r="C100" s="7"/>
      <c r="D100" s="11"/>
      <c r="E100" s="11"/>
      <c r="F100" s="11"/>
      <c r="J100" s="7"/>
    </row>
    <row r="101" spans="1:10" ht="13.2" customHeight="1" x14ac:dyDescent="0.4">
      <c r="A101" s="7"/>
      <c r="B101" s="7"/>
      <c r="C101" s="7"/>
      <c r="D101" s="11"/>
      <c r="E101" s="11"/>
      <c r="F101" s="11"/>
      <c r="J101" s="7"/>
    </row>
    <row r="102" spans="1:10" ht="13.2" customHeight="1" x14ac:dyDescent="0.4">
      <c r="A102" s="7"/>
      <c r="B102" s="7"/>
      <c r="C102" s="7"/>
      <c r="D102" s="11"/>
      <c r="E102" s="11"/>
      <c r="F102" s="11"/>
      <c r="J102" s="7"/>
    </row>
    <row r="103" spans="1:10" ht="13.2" customHeight="1" x14ac:dyDescent="0.4">
      <c r="A103" s="7"/>
      <c r="B103" s="7"/>
      <c r="C103" s="7"/>
      <c r="D103" s="11"/>
      <c r="E103" s="11"/>
      <c r="F103" s="11"/>
      <c r="J103" s="7"/>
    </row>
    <row r="104" spans="1:10" ht="13.2" customHeight="1" x14ac:dyDescent="0.4">
      <c r="A104" s="7"/>
      <c r="B104" s="7"/>
      <c r="C104" s="7"/>
      <c r="D104" s="11"/>
      <c r="E104" s="11"/>
      <c r="F104" s="11"/>
      <c r="J104" s="7"/>
    </row>
    <row r="105" spans="1:10" ht="13.2" customHeight="1" x14ac:dyDescent="0.4">
      <c r="A105" s="7"/>
      <c r="B105" s="7"/>
      <c r="C105" s="7"/>
      <c r="D105" s="11"/>
      <c r="E105" s="11"/>
      <c r="F105" s="11"/>
      <c r="J105" s="7"/>
    </row>
    <row r="106" spans="1:10" ht="13.2" customHeight="1" x14ac:dyDescent="0.4">
      <c r="A106" s="7"/>
      <c r="B106" s="7"/>
      <c r="C106" s="7"/>
      <c r="D106" s="11"/>
      <c r="E106" s="11"/>
      <c r="F106" s="11"/>
      <c r="J106" s="7"/>
    </row>
    <row r="107" spans="1:10" ht="13.2" customHeight="1" x14ac:dyDescent="0.4">
      <c r="A107" s="7"/>
      <c r="B107" s="7"/>
      <c r="C107" s="7"/>
      <c r="D107" s="11"/>
      <c r="E107" s="11"/>
      <c r="F107" s="11"/>
      <c r="J107" s="7"/>
    </row>
    <row r="108" spans="1:10" ht="13.2" customHeight="1" x14ac:dyDescent="0.4">
      <c r="A108" s="7"/>
      <c r="B108" s="7"/>
      <c r="C108" s="7"/>
      <c r="D108" s="11"/>
      <c r="E108" s="11"/>
      <c r="F108" s="11"/>
      <c r="J108" s="7"/>
    </row>
    <row r="109" spans="1:10" ht="13.2" customHeight="1" x14ac:dyDescent="0.4">
      <c r="A109" s="7"/>
      <c r="B109" s="7"/>
      <c r="C109" s="7"/>
      <c r="D109" s="11"/>
      <c r="E109" s="11"/>
      <c r="F109" s="11"/>
      <c r="J109" s="7"/>
    </row>
    <row r="110" spans="1:10" ht="13.2" customHeight="1" x14ac:dyDescent="0.4">
      <c r="A110" s="7"/>
      <c r="B110" s="7"/>
      <c r="C110" s="7"/>
      <c r="D110" s="11"/>
      <c r="E110" s="11"/>
      <c r="F110" s="11"/>
      <c r="J110" s="7"/>
    </row>
    <row r="111" spans="1:10" ht="13.2" customHeight="1" x14ac:dyDescent="0.4">
      <c r="A111" s="7"/>
      <c r="B111" s="7"/>
      <c r="C111" s="7"/>
      <c r="D111" s="11"/>
      <c r="E111" s="11"/>
      <c r="F111" s="11"/>
      <c r="J111" s="7"/>
    </row>
    <row r="112" spans="1:10" ht="13.2" customHeight="1" x14ac:dyDescent="0.4">
      <c r="A112" s="7"/>
      <c r="B112" s="7"/>
      <c r="C112" s="7"/>
      <c r="D112" s="11"/>
      <c r="E112" s="11"/>
      <c r="F112" s="11"/>
      <c r="J112" s="7"/>
    </row>
    <row r="113" spans="1:10" ht="13.2" customHeight="1" x14ac:dyDescent="0.4">
      <c r="A113" s="7"/>
      <c r="B113" s="7"/>
      <c r="C113" s="7"/>
      <c r="D113" s="11"/>
      <c r="E113" s="11"/>
      <c r="F113" s="11"/>
      <c r="J113" s="7"/>
    </row>
    <row r="114" spans="1:10" ht="13.2" customHeight="1" x14ac:dyDescent="0.4">
      <c r="A114" s="7"/>
      <c r="B114" s="7"/>
      <c r="C114" s="7"/>
      <c r="D114" s="11"/>
      <c r="E114" s="11"/>
      <c r="F114" s="11"/>
      <c r="J114" s="7"/>
    </row>
    <row r="115" spans="1:10" ht="13.2" customHeight="1" x14ac:dyDescent="0.4">
      <c r="A115" s="7"/>
      <c r="B115" s="7"/>
      <c r="C115" s="7"/>
      <c r="D115" s="11"/>
      <c r="E115" s="11"/>
      <c r="F115" s="11"/>
      <c r="J115" s="7"/>
    </row>
    <row r="116" spans="1:10" ht="13.2" customHeight="1" x14ac:dyDescent="0.4">
      <c r="A116" s="7"/>
      <c r="B116" s="7"/>
      <c r="C116" s="7"/>
      <c r="D116" s="11"/>
      <c r="E116" s="11"/>
      <c r="F116" s="11"/>
      <c r="J116" s="7"/>
    </row>
    <row r="117" spans="1:10" ht="13.2" customHeight="1" x14ac:dyDescent="0.4">
      <c r="A117" s="7"/>
      <c r="B117" s="7"/>
      <c r="C117" s="7"/>
      <c r="D117" s="11"/>
      <c r="E117" s="11"/>
      <c r="F117" s="11"/>
      <c r="J117" s="7"/>
    </row>
    <row r="118" spans="1:10" ht="13.2" customHeight="1" x14ac:dyDescent="0.4">
      <c r="A118" s="7"/>
      <c r="B118" s="7"/>
      <c r="C118" s="7"/>
      <c r="D118" s="11"/>
      <c r="E118" s="11"/>
      <c r="F118" s="11"/>
      <c r="J118" s="7"/>
    </row>
    <row r="119" spans="1:10" ht="13.2" customHeight="1" x14ac:dyDescent="0.4">
      <c r="A119" s="7"/>
      <c r="B119" s="7"/>
      <c r="C119" s="7"/>
      <c r="D119" s="11"/>
      <c r="E119" s="11"/>
      <c r="F119" s="11"/>
      <c r="J119" s="7"/>
    </row>
    <row r="120" spans="1:10" ht="13.2" customHeight="1" x14ac:dyDescent="0.4">
      <c r="A120" s="7"/>
      <c r="B120" s="7"/>
      <c r="C120" s="7"/>
      <c r="D120" s="11"/>
      <c r="E120" s="11"/>
      <c r="F120" s="11"/>
      <c r="J120" s="7"/>
    </row>
    <row r="121" spans="1:10" ht="13.2" customHeight="1" x14ac:dyDescent="0.4">
      <c r="A121" s="7"/>
      <c r="B121" s="7"/>
      <c r="C121" s="7"/>
      <c r="D121" s="11"/>
      <c r="E121" s="11"/>
      <c r="F121" s="11"/>
      <c r="J121" s="7"/>
    </row>
    <row r="122" spans="1:10" ht="13.2" customHeight="1" x14ac:dyDescent="0.4">
      <c r="A122" s="7"/>
      <c r="B122" s="7"/>
      <c r="C122" s="7"/>
      <c r="D122" s="11"/>
      <c r="E122" s="11"/>
      <c r="F122" s="11"/>
      <c r="J122" s="7"/>
    </row>
    <row r="123" spans="1:10" ht="13.2" customHeight="1" x14ac:dyDescent="0.4">
      <c r="A123" s="7"/>
      <c r="B123" s="7"/>
      <c r="C123" s="7"/>
      <c r="D123" s="11"/>
      <c r="E123" s="11"/>
      <c r="F123" s="11"/>
      <c r="J123" s="7"/>
    </row>
    <row r="124" spans="1:10" ht="13.2" customHeight="1" x14ac:dyDescent="0.4">
      <c r="A124" s="7"/>
      <c r="B124" s="7"/>
      <c r="C124" s="7"/>
      <c r="D124" s="11"/>
      <c r="E124" s="11"/>
      <c r="F124" s="11"/>
      <c r="J124" s="7"/>
    </row>
    <row r="125" spans="1:10" ht="13.2" customHeight="1" x14ac:dyDescent="0.4">
      <c r="A125" s="7"/>
      <c r="B125" s="7"/>
      <c r="C125" s="7"/>
      <c r="D125" s="11"/>
      <c r="E125" s="11"/>
      <c r="F125" s="11"/>
      <c r="J125" s="7"/>
    </row>
    <row r="126" spans="1:10" ht="13.2" customHeight="1" x14ac:dyDescent="0.4">
      <c r="A126" s="7"/>
      <c r="B126" s="7"/>
      <c r="C126" s="7"/>
      <c r="D126" s="11"/>
      <c r="E126" s="11"/>
      <c r="F126" s="11"/>
      <c r="J126" s="7"/>
    </row>
    <row r="127" spans="1:10" ht="13.2" customHeight="1" x14ac:dyDescent="0.4">
      <c r="A127" s="7"/>
      <c r="B127" s="7"/>
      <c r="C127" s="7"/>
      <c r="D127" s="11"/>
      <c r="E127" s="11"/>
      <c r="F127" s="11"/>
      <c r="J127" s="7"/>
    </row>
    <row r="128" spans="1:10" ht="13.2" customHeight="1" x14ac:dyDescent="0.4">
      <c r="A128" s="7"/>
      <c r="B128" s="7"/>
      <c r="C128" s="7"/>
      <c r="D128" s="11"/>
      <c r="E128" s="11"/>
      <c r="F128" s="11"/>
      <c r="J128" s="7"/>
    </row>
    <row r="129" spans="1:10" ht="13.2" customHeight="1" x14ac:dyDescent="0.4">
      <c r="A129" s="7"/>
      <c r="B129" s="7"/>
      <c r="C129" s="7"/>
      <c r="D129" s="11"/>
      <c r="E129" s="11"/>
      <c r="F129" s="11"/>
      <c r="J129" s="7"/>
    </row>
    <row r="130" spans="1:10" ht="13.2" customHeight="1" x14ac:dyDescent="0.4">
      <c r="A130" s="7"/>
      <c r="B130" s="7"/>
      <c r="C130" s="7"/>
      <c r="D130" s="11"/>
      <c r="E130" s="11"/>
      <c r="F130" s="11"/>
      <c r="J130" s="7"/>
    </row>
    <row r="131" spans="1:10" ht="13.2" customHeight="1" x14ac:dyDescent="0.4">
      <c r="A131" s="7"/>
      <c r="B131" s="7"/>
      <c r="C131" s="7"/>
      <c r="D131" s="11"/>
      <c r="E131" s="11"/>
      <c r="F131" s="11"/>
      <c r="J131" s="7"/>
    </row>
    <row r="132" spans="1:10" ht="13.2" customHeight="1" x14ac:dyDescent="0.4">
      <c r="A132" s="7"/>
      <c r="B132" s="7"/>
      <c r="C132" s="7"/>
      <c r="D132" s="11"/>
      <c r="E132" s="11"/>
      <c r="F132" s="11"/>
      <c r="J132" s="7"/>
    </row>
    <row r="133" spans="1:10" ht="13.2" customHeight="1" x14ac:dyDescent="0.4">
      <c r="A133" s="7"/>
      <c r="B133" s="7"/>
      <c r="C133" s="7"/>
      <c r="D133" s="11"/>
      <c r="E133" s="11"/>
      <c r="F133" s="11"/>
      <c r="J133" s="7"/>
    </row>
    <row r="134" spans="1:10" ht="13.2" customHeight="1" x14ac:dyDescent="0.4">
      <c r="A134" s="7"/>
      <c r="B134" s="7"/>
      <c r="C134" s="7"/>
      <c r="D134" s="11"/>
      <c r="E134" s="11"/>
      <c r="F134" s="11"/>
      <c r="J134" s="7"/>
    </row>
    <row r="135" spans="1:10" ht="13.2" customHeight="1" x14ac:dyDescent="0.4">
      <c r="A135" s="7"/>
      <c r="B135" s="7"/>
      <c r="C135" s="7"/>
      <c r="D135" s="11"/>
      <c r="E135" s="11"/>
      <c r="F135" s="11"/>
      <c r="J135" s="7"/>
    </row>
    <row r="136" spans="1:10" ht="13.2" customHeight="1" x14ac:dyDescent="0.4">
      <c r="A136" s="7"/>
      <c r="B136" s="7"/>
      <c r="C136" s="7"/>
      <c r="D136" s="11"/>
      <c r="E136" s="11"/>
      <c r="F136" s="11"/>
      <c r="J136" s="7"/>
    </row>
    <row r="137" spans="1:10" ht="13.2" customHeight="1" x14ac:dyDescent="0.4">
      <c r="A137" s="7"/>
      <c r="B137" s="7"/>
      <c r="C137" s="7"/>
      <c r="D137" s="11"/>
      <c r="E137" s="11"/>
      <c r="F137" s="11"/>
      <c r="J137" s="7"/>
    </row>
    <row r="138" spans="1:10" ht="13.2" customHeight="1" x14ac:dyDescent="0.4">
      <c r="A138" s="7"/>
      <c r="B138" s="7"/>
      <c r="C138" s="7"/>
      <c r="D138" s="11"/>
      <c r="E138" s="11"/>
      <c r="F138" s="11"/>
      <c r="J138" s="7"/>
    </row>
    <row r="139" spans="1:10" ht="13.2" customHeight="1" x14ac:dyDescent="0.4">
      <c r="A139" s="7"/>
      <c r="B139" s="7"/>
      <c r="C139" s="7"/>
      <c r="D139" s="11"/>
      <c r="E139" s="11"/>
      <c r="F139" s="11"/>
      <c r="J139" s="7"/>
    </row>
    <row r="140" spans="1:10" ht="13.2" customHeight="1" x14ac:dyDescent="0.4">
      <c r="A140" s="7"/>
      <c r="B140" s="7"/>
      <c r="C140" s="7"/>
      <c r="D140" s="11"/>
      <c r="E140" s="11"/>
      <c r="F140" s="11"/>
      <c r="J140" s="7"/>
    </row>
    <row r="141" spans="1:10" ht="13.2" customHeight="1" x14ac:dyDescent="0.4">
      <c r="A141" s="7"/>
      <c r="B141" s="7"/>
      <c r="C141" s="7"/>
      <c r="D141" s="11"/>
      <c r="E141" s="11"/>
      <c r="F141" s="11"/>
      <c r="J141" s="7"/>
    </row>
    <row r="142" spans="1:10" ht="13.2" customHeight="1" x14ac:dyDescent="0.4">
      <c r="A142" s="7"/>
      <c r="B142" s="7"/>
      <c r="C142" s="7"/>
      <c r="D142" s="11"/>
      <c r="E142" s="11"/>
      <c r="F142" s="11"/>
      <c r="J142" s="7"/>
    </row>
    <row r="143" spans="1:10" ht="13.2" customHeight="1" x14ac:dyDescent="0.4">
      <c r="A143" s="7"/>
      <c r="B143" s="7"/>
      <c r="C143" s="7"/>
      <c r="D143" s="11"/>
      <c r="E143" s="11"/>
      <c r="F143" s="11"/>
      <c r="J143" s="7"/>
    </row>
    <row r="144" spans="1:10" ht="13.2" customHeight="1" x14ac:dyDescent="0.4">
      <c r="A144" s="7"/>
      <c r="B144" s="7"/>
      <c r="C144" s="7"/>
      <c r="D144" s="11"/>
      <c r="E144" s="11"/>
      <c r="F144" s="11"/>
      <c r="J144" s="7"/>
    </row>
    <row r="145" spans="1:10" ht="13.2" customHeight="1" x14ac:dyDescent="0.4">
      <c r="A145" s="7"/>
      <c r="B145" s="7"/>
      <c r="C145" s="7"/>
      <c r="D145" s="11"/>
      <c r="E145" s="11"/>
      <c r="F145" s="11"/>
      <c r="J145" s="7"/>
    </row>
    <row r="146" spans="1:10" ht="13.2" customHeight="1" x14ac:dyDescent="0.4">
      <c r="A146" s="7"/>
      <c r="B146" s="7"/>
      <c r="C146" s="7"/>
      <c r="D146" s="11"/>
      <c r="E146" s="11"/>
      <c r="F146" s="11"/>
      <c r="J146" s="7"/>
    </row>
    <row r="147" spans="1:10" ht="13.2" customHeight="1" x14ac:dyDescent="0.4">
      <c r="A147" s="7"/>
      <c r="B147" s="7"/>
      <c r="C147" s="7"/>
      <c r="D147" s="11"/>
      <c r="E147" s="11"/>
      <c r="F147" s="11"/>
      <c r="J147" s="7"/>
    </row>
    <row r="148" spans="1:10" ht="13.2" customHeight="1" x14ac:dyDescent="0.4">
      <c r="A148" s="7"/>
      <c r="B148" s="7"/>
      <c r="C148" s="7"/>
      <c r="D148" s="11"/>
      <c r="E148" s="11"/>
      <c r="F148" s="11"/>
      <c r="J148" s="7"/>
    </row>
    <row r="149" spans="1:10" ht="13.2" customHeight="1" x14ac:dyDescent="0.4">
      <c r="A149" s="7"/>
      <c r="B149" s="7"/>
      <c r="C149" s="7"/>
      <c r="D149" s="11"/>
      <c r="E149" s="11"/>
      <c r="F149" s="11"/>
      <c r="J149" s="7"/>
    </row>
    <row r="150" spans="1:10" ht="13.2" customHeight="1" x14ac:dyDescent="0.4">
      <c r="A150" s="7"/>
      <c r="B150" s="7"/>
      <c r="C150" s="7"/>
      <c r="D150" s="11"/>
      <c r="E150" s="11"/>
      <c r="F150" s="11"/>
      <c r="J150" s="7"/>
    </row>
    <row r="151" spans="1:10" ht="13.2" customHeight="1" x14ac:dyDescent="0.4">
      <c r="A151" s="7"/>
      <c r="B151" s="7"/>
      <c r="C151" s="7"/>
      <c r="D151" s="11"/>
      <c r="E151" s="11"/>
      <c r="F151" s="11"/>
      <c r="J151" s="7"/>
    </row>
    <row r="152" spans="1:10" ht="13.2" customHeight="1" x14ac:dyDescent="0.4">
      <c r="A152" s="7"/>
      <c r="B152" s="7"/>
      <c r="C152" s="7"/>
      <c r="D152" s="11"/>
      <c r="E152" s="11"/>
      <c r="F152" s="11"/>
      <c r="J152" s="7"/>
    </row>
    <row r="153" spans="1:10" ht="13.2" customHeight="1" x14ac:dyDescent="0.4">
      <c r="A153" s="7"/>
      <c r="B153" s="7"/>
      <c r="C153" s="7"/>
      <c r="D153" s="11"/>
      <c r="E153" s="11"/>
      <c r="F153" s="11"/>
      <c r="J153" s="7"/>
    </row>
    <row r="154" spans="1:10" ht="13.2" customHeight="1" x14ac:dyDescent="0.4">
      <c r="A154" s="7"/>
      <c r="B154" s="7"/>
      <c r="C154" s="7"/>
      <c r="D154" s="11"/>
      <c r="E154" s="11"/>
      <c r="F154" s="11"/>
      <c r="J154" s="7"/>
    </row>
    <row r="155" spans="1:10" ht="13.2" customHeight="1" x14ac:dyDescent="0.4">
      <c r="A155" s="7"/>
      <c r="B155" s="7"/>
      <c r="C155" s="7"/>
      <c r="D155" s="11"/>
      <c r="E155" s="11"/>
      <c r="F155" s="11"/>
      <c r="J155" s="7"/>
    </row>
    <row r="156" spans="1:10" ht="13.2" customHeight="1" x14ac:dyDescent="0.4">
      <c r="A156" s="7"/>
      <c r="B156" s="7"/>
      <c r="C156" s="7"/>
      <c r="D156" s="11"/>
      <c r="E156" s="11"/>
      <c r="F156" s="11"/>
      <c r="J156" s="7"/>
    </row>
    <row r="157" spans="1:10" ht="13.2" customHeight="1" x14ac:dyDescent="0.4">
      <c r="A157" s="7"/>
      <c r="B157" s="7"/>
      <c r="C157" s="7"/>
      <c r="D157" s="11"/>
      <c r="E157" s="11"/>
      <c r="F157" s="11"/>
      <c r="J157" s="7"/>
    </row>
    <row r="158" spans="1:10" ht="13.2" customHeight="1" x14ac:dyDescent="0.4">
      <c r="A158" s="7"/>
      <c r="B158" s="7"/>
      <c r="C158" s="7"/>
      <c r="D158" s="11"/>
      <c r="E158" s="11"/>
      <c r="F158" s="11"/>
      <c r="J158" s="7"/>
    </row>
    <row r="159" spans="1:10" ht="13.2" customHeight="1" x14ac:dyDescent="0.4">
      <c r="A159" s="7"/>
      <c r="B159" s="7"/>
      <c r="C159" s="7"/>
      <c r="D159" s="11"/>
      <c r="E159" s="11"/>
      <c r="F159" s="11"/>
      <c r="J159" s="7"/>
    </row>
    <row r="160" spans="1:10" ht="13.2" customHeight="1" x14ac:dyDescent="0.4">
      <c r="A160" s="7"/>
      <c r="B160" s="7"/>
      <c r="C160" s="7"/>
      <c r="D160" s="11"/>
      <c r="E160" s="11"/>
      <c r="F160" s="11"/>
      <c r="J160" s="7"/>
    </row>
    <row r="161" spans="1:10" ht="13.2" customHeight="1" x14ac:dyDescent="0.4">
      <c r="A161" s="7"/>
      <c r="B161" s="7"/>
      <c r="C161" s="7"/>
      <c r="D161" s="11"/>
      <c r="E161" s="11"/>
      <c r="F161" s="11"/>
      <c r="J161" s="7"/>
    </row>
    <row r="162" spans="1:10" ht="13.2" customHeight="1" x14ac:dyDescent="0.4">
      <c r="A162" s="7"/>
      <c r="B162" s="7"/>
      <c r="C162" s="7"/>
      <c r="D162" s="11"/>
      <c r="E162" s="11"/>
      <c r="F162" s="11"/>
      <c r="J162" s="7"/>
    </row>
    <row r="163" spans="1:10" ht="13.2" customHeight="1" x14ac:dyDescent="0.4">
      <c r="A163" s="7"/>
      <c r="B163" s="7"/>
      <c r="C163" s="7"/>
      <c r="D163" s="11"/>
      <c r="E163" s="11"/>
      <c r="F163" s="11"/>
      <c r="J163" s="7"/>
    </row>
    <row r="164" spans="1:10" ht="13.2" customHeight="1" x14ac:dyDescent="0.4">
      <c r="A164" s="7"/>
      <c r="B164" s="7"/>
      <c r="C164" s="7"/>
      <c r="D164" s="11"/>
      <c r="E164" s="11"/>
      <c r="F164" s="11"/>
      <c r="J164" s="7"/>
    </row>
    <row r="165" spans="1:10" ht="13.2" customHeight="1" x14ac:dyDescent="0.4">
      <c r="A165" s="7"/>
      <c r="B165" s="7"/>
      <c r="C165" s="7"/>
      <c r="D165" s="11"/>
      <c r="E165" s="11"/>
      <c r="F165" s="11"/>
      <c r="J165" s="7"/>
    </row>
    <row r="166" spans="1:10" ht="13.2" customHeight="1" x14ac:dyDescent="0.4">
      <c r="A166" s="7"/>
      <c r="B166" s="7"/>
      <c r="C166" s="7"/>
      <c r="D166" s="11"/>
      <c r="E166" s="11"/>
      <c r="F166" s="11"/>
      <c r="J166" s="7"/>
    </row>
    <row r="167" spans="1:10" ht="13.2" customHeight="1" x14ac:dyDescent="0.4">
      <c r="A167" s="7"/>
      <c r="B167" s="7"/>
      <c r="C167" s="7"/>
      <c r="D167" s="11"/>
      <c r="E167" s="11"/>
      <c r="F167" s="11"/>
      <c r="J167" s="7"/>
    </row>
    <row r="168" spans="1:10" ht="13.2" customHeight="1" x14ac:dyDescent="0.4">
      <c r="A168" s="7"/>
      <c r="B168" s="7"/>
      <c r="C168" s="7"/>
      <c r="D168" s="11"/>
      <c r="E168" s="11"/>
      <c r="F168" s="11"/>
      <c r="J168" s="7"/>
    </row>
    <row r="169" spans="1:10" ht="13.2" customHeight="1" x14ac:dyDescent="0.4">
      <c r="A169" s="7"/>
      <c r="B169" s="7"/>
      <c r="C169" s="7"/>
      <c r="D169" s="11"/>
      <c r="E169" s="11"/>
      <c r="F169" s="11"/>
      <c r="J169" s="7"/>
    </row>
    <row r="170" spans="1:10" ht="13.2" customHeight="1" x14ac:dyDescent="0.4">
      <c r="A170" s="7"/>
      <c r="B170" s="7"/>
      <c r="C170" s="7"/>
      <c r="D170" s="11"/>
      <c r="E170" s="11"/>
      <c r="F170" s="11"/>
      <c r="J170" s="7"/>
    </row>
    <row r="171" spans="1:10" ht="13.2" customHeight="1" x14ac:dyDescent="0.4">
      <c r="A171" s="7"/>
      <c r="B171" s="7"/>
      <c r="C171" s="7"/>
      <c r="D171" s="11"/>
      <c r="E171" s="11"/>
      <c r="F171" s="11"/>
      <c r="J171" s="7"/>
    </row>
    <row r="172" spans="1:10" ht="13.2" customHeight="1" x14ac:dyDescent="0.4">
      <c r="A172" s="7"/>
      <c r="B172" s="7"/>
      <c r="C172" s="7"/>
      <c r="D172" s="11"/>
      <c r="E172" s="11"/>
      <c r="F172" s="11"/>
      <c r="J172" s="7"/>
    </row>
    <row r="173" spans="1:10" ht="13.2" customHeight="1" x14ac:dyDescent="0.4">
      <c r="A173" s="7"/>
      <c r="B173" s="7"/>
      <c r="C173" s="7"/>
      <c r="D173" s="11"/>
      <c r="E173" s="11"/>
      <c r="F173" s="11"/>
      <c r="J173" s="7"/>
    </row>
    <row r="174" spans="1:10" ht="13.2" customHeight="1" x14ac:dyDescent="0.4">
      <c r="A174" s="7"/>
      <c r="B174" s="7"/>
      <c r="C174" s="7"/>
      <c r="D174" s="11"/>
      <c r="E174" s="11"/>
      <c r="F174" s="11"/>
      <c r="J174" s="7"/>
    </row>
    <row r="175" spans="1:10" ht="13.2" customHeight="1" x14ac:dyDescent="0.4">
      <c r="A175" s="7"/>
      <c r="B175" s="7"/>
      <c r="C175" s="7"/>
      <c r="D175" s="11"/>
      <c r="E175" s="11"/>
      <c r="F175" s="11"/>
      <c r="J175" s="7"/>
    </row>
    <row r="176" spans="1:10" ht="13.2" customHeight="1" x14ac:dyDescent="0.4">
      <c r="A176" s="7"/>
      <c r="B176" s="7"/>
      <c r="C176" s="7"/>
      <c r="D176" s="11"/>
      <c r="E176" s="11"/>
      <c r="F176" s="11"/>
      <c r="J176" s="7"/>
    </row>
    <row r="177" spans="1:10" ht="13.2" customHeight="1" x14ac:dyDescent="0.4">
      <c r="A177" s="7"/>
      <c r="B177" s="7"/>
      <c r="C177" s="7"/>
      <c r="D177" s="11"/>
      <c r="E177" s="11"/>
      <c r="F177" s="11"/>
      <c r="J177" s="7"/>
    </row>
    <row r="178" spans="1:10" ht="13.2" customHeight="1" x14ac:dyDescent="0.4">
      <c r="A178" s="7"/>
      <c r="B178" s="7"/>
      <c r="C178" s="7"/>
      <c r="D178" s="11"/>
      <c r="E178" s="11"/>
      <c r="F178" s="11"/>
      <c r="J178" s="7"/>
    </row>
    <row r="179" spans="1:10" ht="13.2" customHeight="1" x14ac:dyDescent="0.4">
      <c r="A179" s="7"/>
      <c r="B179" s="7"/>
      <c r="C179" s="7"/>
      <c r="D179" s="11"/>
      <c r="E179" s="11"/>
      <c r="F179" s="11"/>
      <c r="J179" s="7"/>
    </row>
    <row r="180" spans="1:10" ht="13.2" customHeight="1" x14ac:dyDescent="0.4">
      <c r="A180" s="7"/>
      <c r="B180" s="7"/>
      <c r="C180" s="7"/>
      <c r="D180" s="11"/>
      <c r="E180" s="11"/>
      <c r="F180" s="11"/>
      <c r="J180" s="7"/>
    </row>
    <row r="181" spans="1:10" ht="13.2" customHeight="1" x14ac:dyDescent="0.4">
      <c r="A181" s="7"/>
      <c r="B181" s="7"/>
      <c r="C181" s="7"/>
      <c r="D181" s="11"/>
      <c r="E181" s="11"/>
      <c r="F181" s="11"/>
      <c r="J181" s="7"/>
    </row>
    <row r="182" spans="1:10" ht="13.2" customHeight="1" x14ac:dyDescent="0.4">
      <c r="A182" s="7"/>
      <c r="B182" s="7"/>
      <c r="C182" s="7"/>
      <c r="D182" s="11"/>
      <c r="E182" s="11"/>
      <c r="F182" s="11"/>
      <c r="J182" s="7"/>
    </row>
    <row r="183" spans="1:10" ht="13.2" customHeight="1" x14ac:dyDescent="0.4">
      <c r="A183" s="7"/>
      <c r="B183" s="7"/>
      <c r="C183" s="7"/>
      <c r="D183" s="11"/>
      <c r="E183" s="11"/>
      <c r="F183" s="11"/>
      <c r="J183" s="7"/>
    </row>
    <row r="184" spans="1:10" ht="13.2" customHeight="1" x14ac:dyDescent="0.4">
      <c r="A184" s="7"/>
      <c r="B184" s="7"/>
      <c r="C184" s="7"/>
      <c r="E184" s="11"/>
      <c r="J184" s="7"/>
    </row>
    <row r="185" spans="1:10" ht="13.2" customHeight="1" x14ac:dyDescent="0.4">
      <c r="A185" s="7"/>
      <c r="B185" s="7"/>
      <c r="C185" s="7"/>
      <c r="E185" s="11"/>
      <c r="J185" s="7"/>
    </row>
    <row r="186" spans="1:10" ht="13.2" customHeight="1" x14ac:dyDescent="0.4">
      <c r="A186" s="7"/>
      <c r="B186" s="7"/>
      <c r="C186" s="7"/>
      <c r="E186" s="11"/>
      <c r="J186" s="7"/>
    </row>
  </sheetData>
  <autoFilter ref="A1:K1" xr:uid="{00000000-0001-0000-0000-000000000000}">
    <sortState xmlns:xlrd2="http://schemas.microsoft.com/office/spreadsheetml/2017/richdata2" ref="A2:K72">
      <sortCondition ref="A1"/>
    </sortState>
  </autoFilter>
  <phoneticPr fontId="1" type="noConversion"/>
  <pageMargins left="0.78749999999999998" right="0.78749999999999998" top="1.05277777777778" bottom="1.05277777777778" header="0.78749999999999998" footer="0.78749999999999998"/>
  <pageSetup paperSize="9" scale="77" fitToWidth="0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Arnau Coronado</cp:lastModifiedBy>
  <cp:revision>1</cp:revision>
  <cp:lastPrinted>2026-03-11T08:49:06Z</cp:lastPrinted>
  <dcterms:created xsi:type="dcterms:W3CDTF">2026-03-02T11:11:17Z</dcterms:created>
  <dcterms:modified xsi:type="dcterms:W3CDTF">2026-04-27T11:50:46Z</dcterms:modified>
  <dc:language>en-GB</dc:language>
</cp:coreProperties>
</file>